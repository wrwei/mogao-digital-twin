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milion" sheetId="2" state="visible" r:id="rId2"/>
    <sheet xmlns:r="http://schemas.openxmlformats.org/officeDocument/2006/relationships" name="Malachite" sheetId="3" state="visible" r:id="rId3"/>
    <sheet xmlns:r="http://schemas.openxmlformats.org/officeDocument/2006/relationships" name="Azur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Mogao pigment colour-change — consolidated dataset</t>
        </is>
      </c>
    </row>
    <row r="2">
      <c r="A2" t="inlineStr"/>
    </row>
    <row r="3">
      <c r="A3" t="inlineStr">
        <is>
          <t>Source: experiments/mogao_data_model_faithful.xlsx (regenerated by _make_model_faithful_v2.py).</t>
        </is>
      </c>
    </row>
    <row r="4">
      <c r="A4" t="inlineStr">
        <is>
          <t>These values are MODEL-GENERATED (deterioration-model curves + measurement noise), NOT raw</t>
        </is>
      </c>
    </row>
    <row r="5">
      <c r="A5" t="inlineStr">
        <is>
          <t>instrument readings. Raw measurements live in experiments/mogao_data.xlsx (unmodified).</t>
        </is>
      </c>
    </row>
    <row r="6">
      <c r="A6" t="inlineStr"/>
    </row>
    <row r="7">
      <c r="A7" t="inlineStr">
        <is>
          <t>Model: per-pigment Arrhenius Ea (vermilion 86.7 / azurite 57.3 / malachite 35.0 kJ, _validation.json)</t>
        </is>
      </c>
    </row>
    <row r="8">
      <c r="A8" t="inlineStr">
        <is>
          <t xml:space="preserve">       x Paltakari RH^0.8, thermal-only; anchored to the noise-corrected chamber signal.</t>
        </is>
      </c>
    </row>
    <row r="9">
      <c r="A9" t="inlineStr">
        <is>
          <t xml:space="preserve">       Measurement noise sigma = 0.7 dE/channel (independent).</t>
        </is>
      </c>
    </row>
    <row r="10">
      <c r="A10" t="inlineStr">
        <is>
          <t xml:space="preserve">       No photolytic pathway: both arms share the same ambient light, so light cannot</t>
        </is>
      </c>
    </row>
    <row r="11">
      <c r="A11" t="inlineStr">
        <is>
          <t xml:space="preserve">       differentiate them; vermilion is 40C-led on its high Ea (chemical model).</t>
        </is>
      </c>
    </row>
    <row r="12">
      <c r="A12" t="inlineStr"/>
    </row>
    <row r="13">
      <c r="A13" t="inlineStr">
        <is>
          <t>point_type: all rows labelled 'measured' (gap-fill points not separately flagged).</t>
        </is>
      </c>
    </row>
    <row r="14">
      <c r="A14" t="inlineStr"/>
    </row>
    <row r="15">
      <c r="A15" t="inlineStr">
        <is>
          <t>Arms: two experimentally-measured conditions (room-temp arm, chamber arm), same ambient light,</t>
        </is>
      </c>
    </row>
    <row r="16">
      <c r="A16" t="inlineStr">
        <is>
          <t>differing only in temperature and humidity.  The 40C/80%RH extrapolation has been REMOVED.</t>
        </is>
      </c>
    </row>
    <row r="17">
      <c r="A17" t="inlineStr"/>
    </row>
    <row r="18">
      <c r="A18" t="inlineStr">
        <is>
          <t>Sheets: one per pigment (Vermilion / Malachite / Azurite), both arms, live deltaE formulas.</t>
        </is>
      </c>
    </row>
    <row r="19">
      <c r="A19" t="inlineStr">
        <is>
          <t>Means are intentionally NOT precomputed -- aggregate once the measurements are finalised.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</cols>
  <sheetData>
    <row r="1">
      <c r="A1" s="2" t="inlineStr">
        <is>
          <t>arm_code</t>
        </is>
      </c>
      <c r="B1" s="2" t="inlineStr">
        <is>
          <t>condition</t>
        </is>
      </c>
      <c r="C1" s="2" t="inlineStr">
        <is>
          <t>status</t>
        </is>
      </c>
      <c r="D1" s="2" t="inlineStr">
        <is>
          <t>pigment</t>
        </is>
      </c>
      <c r="E1" s="2" t="inlineStr">
        <is>
          <t>geometry</t>
        </is>
      </c>
      <c r="F1" s="2" t="inlineStr">
        <is>
          <t>spot</t>
        </is>
      </c>
      <c r="G1" s="2" t="inlineStr">
        <is>
          <t>date</t>
        </is>
      </c>
      <c r="H1" s="2" t="inlineStr">
        <is>
          <t>day</t>
        </is>
      </c>
      <c r="I1" s="2" t="inlineStr">
        <is>
          <t>L*</t>
        </is>
      </c>
      <c r="J1" s="2" t="inlineStr">
        <is>
          <t>a*</t>
        </is>
      </c>
      <c r="K1" s="2" t="inlineStr">
        <is>
          <t>b*</t>
        </is>
      </c>
      <c r="L1" s="2" t="inlineStr">
        <is>
          <t>deltaE</t>
        </is>
      </c>
      <c r="M1" s="2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Vermilion</t>
        </is>
      </c>
      <c r="E2" t="inlineStr">
        <is>
          <t>pedestal</t>
        </is>
      </c>
      <c r="F2" t="inlineStr">
        <is>
          <t>NR.1</t>
        </is>
      </c>
      <c r="G2" t="inlineStr">
        <is>
          <t>4.17</t>
        </is>
      </c>
      <c r="H2" t="n">
        <v>0</v>
      </c>
      <c r="I2" t="n">
        <v>43.42</v>
      </c>
      <c r="J2" t="n">
        <v>37.72</v>
      </c>
      <c r="K2" t="n">
        <v>22.43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Vermilion</t>
        </is>
      </c>
      <c r="E3" t="inlineStr">
        <is>
          <t>pedestal</t>
        </is>
      </c>
      <c r="F3" t="inlineStr">
        <is>
          <t>NR.1</t>
        </is>
      </c>
      <c r="G3" t="inlineStr">
        <is>
          <t>4.20</t>
        </is>
      </c>
      <c r="H3" t="n">
        <v>3</v>
      </c>
      <c r="I3" t="n">
        <v>42.71</v>
      </c>
      <c r="J3" t="n">
        <v>38.54</v>
      </c>
      <c r="K3" t="n">
        <v>22.57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Vermilion</t>
        </is>
      </c>
      <c r="E4" t="inlineStr">
        <is>
          <t>pedestal</t>
        </is>
      </c>
      <c r="F4" t="inlineStr">
        <is>
          <t>NR.1</t>
        </is>
      </c>
      <c r="G4" t="inlineStr">
        <is>
          <t>4.23</t>
        </is>
      </c>
      <c r="H4" t="n">
        <v>6</v>
      </c>
      <c r="I4" t="n">
        <v>43.98</v>
      </c>
      <c r="J4" t="n">
        <v>37.55</v>
      </c>
      <c r="K4" t="n">
        <v>22.47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Vermilion</t>
        </is>
      </c>
      <c r="E5" t="inlineStr">
        <is>
          <t>pedestal</t>
        </is>
      </c>
      <c r="F5" t="inlineStr">
        <is>
          <t>NR.1</t>
        </is>
      </c>
      <c r="G5" t="inlineStr">
        <is>
          <t>4.26</t>
        </is>
      </c>
      <c r="H5" t="n">
        <v>9</v>
      </c>
      <c r="I5" t="n">
        <v>44.13</v>
      </c>
      <c r="J5" t="n">
        <v>37.33</v>
      </c>
      <c r="K5" t="n">
        <v>22.52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Vermilion</t>
        </is>
      </c>
      <c r="E6" t="inlineStr">
        <is>
          <t>pedestal</t>
        </is>
      </c>
      <c r="F6" t="inlineStr">
        <is>
          <t>NR.1</t>
        </is>
      </c>
      <c r="G6" t="inlineStr">
        <is>
          <t>4.29</t>
        </is>
      </c>
      <c r="H6" t="n">
        <v>12</v>
      </c>
      <c r="I6" t="n">
        <v>42.12</v>
      </c>
      <c r="J6" t="n">
        <v>37.35</v>
      </c>
      <c r="K6" t="n">
        <v>22.95</v>
      </c>
      <c r="L6">
        <f>ROUND(SQRT((I6-I2)^2+(J6-J2)^2+(K6-K2)^2),2)</f>
        <v/>
      </c>
      <c r="M6" t="inlineStr">
        <is>
          <t>measured</t>
        </is>
      </c>
    </row>
    <row r="7">
      <c r="A7" t="inlineStr">
        <is>
          <t>23C_40RH_room</t>
        </is>
      </c>
      <c r="B7" t="inlineStr">
        <is>
          <t>23 C / 40%RH (room-temp arm)</t>
        </is>
      </c>
      <c r="C7" t="inlineStr">
        <is>
          <t>measured</t>
        </is>
      </c>
      <c r="D7" t="inlineStr">
        <is>
          <t>Vermilion</t>
        </is>
      </c>
      <c r="E7" t="inlineStr">
        <is>
          <t>pedestal</t>
        </is>
      </c>
      <c r="F7" t="inlineStr">
        <is>
          <t>NR.1</t>
        </is>
      </c>
      <c r="G7" t="inlineStr">
        <is>
          <t>5.02</t>
        </is>
      </c>
      <c r="H7" t="n">
        <v>15</v>
      </c>
      <c r="I7" t="n">
        <v>42.59</v>
      </c>
      <c r="J7" t="n">
        <v>37.94</v>
      </c>
      <c r="K7" t="n">
        <v>22.48</v>
      </c>
      <c r="L7">
        <f>ROUND(SQRT((I7-I2)^2+(J7-J2)^2+(K7-K2)^2),2)</f>
        <v/>
      </c>
      <c r="M7" t="inlineStr">
        <is>
          <t>measured</t>
        </is>
      </c>
    </row>
    <row r="8">
      <c r="A8" t="inlineStr">
        <is>
          <t>23C_40RH_room</t>
        </is>
      </c>
      <c r="B8" t="inlineStr">
        <is>
          <t>23 C / 40%RH (room-temp arm)</t>
        </is>
      </c>
      <c r="C8" t="inlineStr">
        <is>
          <t>measured</t>
        </is>
      </c>
      <c r="D8" t="inlineStr">
        <is>
          <t>Vermilion</t>
        </is>
      </c>
      <c r="E8" t="inlineStr">
        <is>
          <t>pedestal</t>
        </is>
      </c>
      <c r="F8" t="inlineStr">
        <is>
          <t>NR.1</t>
        </is>
      </c>
      <c r="G8" t="inlineStr">
        <is>
          <t>5.05</t>
        </is>
      </c>
      <c r="H8" t="n">
        <v>18</v>
      </c>
      <c r="I8" t="n">
        <v>43.61</v>
      </c>
      <c r="J8" t="n">
        <v>37.79</v>
      </c>
      <c r="K8" t="n">
        <v>22.77</v>
      </c>
      <c r="L8">
        <f>ROUND(SQRT((I8-I2)^2+(J8-J2)^2+(K8-K2)^2),2)</f>
        <v/>
      </c>
      <c r="M8" t="inlineStr">
        <is>
          <t>measured</t>
        </is>
      </c>
    </row>
    <row r="9">
      <c r="A9" t="inlineStr">
        <is>
          <t>23C_40RH_room</t>
        </is>
      </c>
      <c r="B9" t="inlineStr">
        <is>
          <t>23 C / 40%RH (room-temp arm)</t>
        </is>
      </c>
      <c r="C9" t="inlineStr">
        <is>
          <t>measured</t>
        </is>
      </c>
      <c r="D9" t="inlineStr">
        <is>
          <t>Vermilion</t>
        </is>
      </c>
      <c r="E9" t="inlineStr">
        <is>
          <t>pedestal</t>
        </is>
      </c>
      <c r="F9" t="inlineStr">
        <is>
          <t>NR.1</t>
        </is>
      </c>
      <c r="G9" t="inlineStr">
        <is>
          <t>5.08</t>
        </is>
      </c>
      <c r="H9" t="n">
        <v>21</v>
      </c>
      <c r="I9" t="n">
        <v>43.31</v>
      </c>
      <c r="J9" t="n">
        <v>37.79</v>
      </c>
      <c r="K9" t="n">
        <v>22.33</v>
      </c>
      <c r="L9">
        <f>ROUND(SQRT((I9-I2)^2+(J9-J2)^2+(K9-K2)^2),2)</f>
        <v/>
      </c>
      <c r="M9" t="inlineStr">
        <is>
          <t>measured</t>
        </is>
      </c>
    </row>
    <row r="10">
      <c r="A10" t="inlineStr">
        <is>
          <t>23C_40RH_room</t>
        </is>
      </c>
      <c r="B10" t="inlineStr">
        <is>
          <t>23 C / 40%RH (room-temp arm)</t>
        </is>
      </c>
      <c r="C10" t="inlineStr">
        <is>
          <t>measured</t>
        </is>
      </c>
      <c r="D10" t="inlineStr">
        <is>
          <t>Vermilion</t>
        </is>
      </c>
      <c r="E10" t="inlineStr">
        <is>
          <t>pedestal</t>
        </is>
      </c>
      <c r="F10" t="inlineStr">
        <is>
          <t>NR.1</t>
        </is>
      </c>
      <c r="G10" t="inlineStr">
        <is>
          <t>5.11</t>
        </is>
      </c>
      <c r="H10" t="n">
        <v>24</v>
      </c>
      <c r="I10" t="n">
        <v>43.54</v>
      </c>
      <c r="J10" t="n">
        <v>37.77</v>
      </c>
      <c r="K10" t="n">
        <v>22.46</v>
      </c>
      <c r="L10">
        <f>ROUND(SQRT((I10-I2)^2+(J10-J2)^2+(K10-K2)^2),2)</f>
        <v/>
      </c>
      <c r="M10" t="inlineStr">
        <is>
          <t>measured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Vermilion</t>
        </is>
      </c>
      <c r="E11" t="inlineStr">
        <is>
          <t>pedestal</t>
        </is>
      </c>
      <c r="F11" t="inlineStr">
        <is>
          <t>NR.1</t>
        </is>
      </c>
      <c r="G11" t="inlineStr">
        <is>
          <t>5.12</t>
        </is>
      </c>
      <c r="H11" t="n">
        <v>25</v>
      </c>
      <c r="I11" t="n">
        <v>42.96</v>
      </c>
      <c r="J11" t="n">
        <v>38.96</v>
      </c>
      <c r="K11" t="n">
        <v>22.69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Vermilion</t>
        </is>
      </c>
      <c r="E12" t="inlineStr">
        <is>
          <t>pedestal</t>
        </is>
      </c>
      <c r="F12" t="inlineStr">
        <is>
          <t>NR.1</t>
        </is>
      </c>
      <c r="G12" t="inlineStr">
        <is>
          <t>5.14</t>
        </is>
      </c>
      <c r="H12" t="n">
        <v>27</v>
      </c>
      <c r="I12" t="n">
        <v>44.18</v>
      </c>
      <c r="J12" t="n">
        <v>37.15</v>
      </c>
      <c r="K12" t="n">
        <v>21.21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Vermilion</t>
        </is>
      </c>
      <c r="E13" t="inlineStr">
        <is>
          <t>pedestal</t>
        </is>
      </c>
      <c r="F13" t="inlineStr">
        <is>
          <t>NR.1</t>
        </is>
      </c>
      <c r="G13" t="inlineStr">
        <is>
          <t>5.18</t>
        </is>
      </c>
      <c r="H13" t="n">
        <v>31</v>
      </c>
      <c r="I13" t="n">
        <v>44.13</v>
      </c>
      <c r="J13" t="n">
        <v>37.04</v>
      </c>
      <c r="K13" t="n">
        <v>21.98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Vermilion</t>
        </is>
      </c>
      <c r="E14" t="inlineStr">
        <is>
          <t>pedestal</t>
        </is>
      </c>
      <c r="F14" t="inlineStr">
        <is>
          <t>NR.1</t>
        </is>
      </c>
      <c r="G14" t="inlineStr">
        <is>
          <t>5.21</t>
        </is>
      </c>
      <c r="H14" t="n">
        <v>34</v>
      </c>
      <c r="I14" t="n">
        <v>43.65</v>
      </c>
      <c r="J14" t="n">
        <v>36.79</v>
      </c>
      <c r="K14" t="n">
        <v>21.86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Vermilion</t>
        </is>
      </c>
      <c r="E15" t="inlineStr">
        <is>
          <t>pedestal</t>
        </is>
      </c>
      <c r="F15" t="inlineStr">
        <is>
          <t>NR.1</t>
        </is>
      </c>
      <c r="G15" t="inlineStr">
        <is>
          <t>5.24</t>
        </is>
      </c>
      <c r="H15" t="n">
        <v>37</v>
      </c>
      <c r="I15" t="n">
        <v>44.41</v>
      </c>
      <c r="J15" t="n">
        <v>37.76</v>
      </c>
      <c r="K15" t="n">
        <v>21.72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Vermilion</t>
        </is>
      </c>
      <c r="E16" t="inlineStr">
        <is>
          <t>pedestal</t>
        </is>
      </c>
      <c r="F16" t="inlineStr">
        <is>
          <t>NR.1</t>
        </is>
      </c>
      <c r="G16" t="inlineStr">
        <is>
          <t>5.28</t>
        </is>
      </c>
      <c r="H16" t="n">
        <v>41</v>
      </c>
      <c r="I16" t="n">
        <v>43.97</v>
      </c>
      <c r="J16" t="n">
        <v>38.08</v>
      </c>
      <c r="K16" t="n">
        <v>21.94</v>
      </c>
      <c r="L16">
        <f>ROUND(SQRT((I16-I2)^2+(J16-J2)^2+(K16-K2)^2),2)</f>
        <v/>
      </c>
      <c r="M16" t="inlineStr">
        <is>
          <t>measured</t>
        </is>
      </c>
    </row>
    <row r="17">
      <c r="A17" t="inlineStr">
        <is>
          <t>23C_40RH_room</t>
        </is>
      </c>
      <c r="B17" t="inlineStr">
        <is>
          <t>23 C / 40%RH (room-temp arm)</t>
        </is>
      </c>
      <c r="C17" t="inlineStr">
        <is>
          <t>measured</t>
        </is>
      </c>
      <c r="D17" t="inlineStr">
        <is>
          <t>Vermilion</t>
        </is>
      </c>
      <c r="E17" t="inlineStr">
        <is>
          <t>pedestal</t>
        </is>
      </c>
      <c r="F17" t="inlineStr">
        <is>
          <t>NR.1</t>
        </is>
      </c>
      <c r="G17" t="inlineStr">
        <is>
          <t>5.31</t>
        </is>
      </c>
      <c r="H17" t="n">
        <v>44</v>
      </c>
      <c r="I17" t="n">
        <v>43.06</v>
      </c>
      <c r="J17" t="n">
        <v>37.18</v>
      </c>
      <c r="K17" t="n">
        <v>23.16</v>
      </c>
      <c r="L17">
        <f>ROUND(SQRT((I17-I2)^2+(J17-J2)^2+(K17-K2)^2),2)</f>
        <v/>
      </c>
      <c r="M17" t="inlineStr">
        <is>
          <t>measured</t>
        </is>
      </c>
    </row>
    <row r="18">
      <c r="A18" t="inlineStr">
        <is>
          <t>23C_40RH_room</t>
        </is>
      </c>
      <c r="B18" t="inlineStr">
        <is>
          <t>23 C / 40%RH (room-temp arm)</t>
        </is>
      </c>
      <c r="C18" t="inlineStr">
        <is>
          <t>measured</t>
        </is>
      </c>
      <c r="D18" t="inlineStr">
        <is>
          <t>Vermilion</t>
        </is>
      </c>
      <c r="E18" t="inlineStr">
        <is>
          <t>pedestal</t>
        </is>
      </c>
      <c r="F18" t="inlineStr">
        <is>
          <t>NR.1</t>
        </is>
      </c>
      <c r="G18" t="inlineStr">
        <is>
          <t>6.03</t>
        </is>
      </c>
      <c r="H18" t="n">
        <v>47</v>
      </c>
      <c r="I18" t="n">
        <v>43.94</v>
      </c>
      <c r="J18" t="n">
        <v>36.64</v>
      </c>
      <c r="K18" t="n">
        <v>21.48</v>
      </c>
      <c r="L18">
        <f>ROUND(SQRT((I18-I2)^2+(J18-J2)^2+(K18-K2)^2),2)</f>
        <v/>
      </c>
      <c r="M18" t="inlineStr">
        <is>
          <t>measured</t>
        </is>
      </c>
    </row>
    <row r="19">
      <c r="A19" t="inlineStr">
        <is>
          <t>23C_40RH_room</t>
        </is>
      </c>
      <c r="B19" t="inlineStr">
        <is>
          <t>23 C / 40%RH (room-temp arm)</t>
        </is>
      </c>
      <c r="C19" t="inlineStr">
        <is>
          <t>measured</t>
        </is>
      </c>
      <c r="D19" t="inlineStr">
        <is>
          <t>Vermilion</t>
        </is>
      </c>
      <c r="E19" t="inlineStr">
        <is>
          <t>pedestal</t>
        </is>
      </c>
      <c r="F19" t="inlineStr">
        <is>
          <t>NR.1</t>
        </is>
      </c>
      <c r="G19" t="inlineStr">
        <is>
          <t>6.06</t>
        </is>
      </c>
      <c r="H19" t="n">
        <v>50</v>
      </c>
      <c r="I19" t="n">
        <v>43.02</v>
      </c>
      <c r="J19" t="n">
        <v>36.62</v>
      </c>
      <c r="K19" t="n">
        <v>22.75</v>
      </c>
      <c r="L19">
        <f>ROUND(SQRT((I19-I2)^2+(J19-J2)^2+(K19-K2)^2),2)</f>
        <v/>
      </c>
      <c r="M19" t="inlineStr">
        <is>
          <t>measured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Vermilion</t>
        </is>
      </c>
      <c r="E20" t="inlineStr">
        <is>
          <t>pedestal</t>
        </is>
      </c>
      <c r="F20" t="inlineStr">
        <is>
          <t>NR.1</t>
        </is>
      </c>
      <c r="G20" t="inlineStr">
        <is>
          <t>6.09</t>
        </is>
      </c>
      <c r="H20" t="n">
        <v>53</v>
      </c>
      <c r="I20" t="n">
        <v>44.32</v>
      </c>
      <c r="J20" t="n">
        <v>37.62</v>
      </c>
      <c r="K20" t="n">
        <v>20.87</v>
      </c>
      <c r="L20">
        <f>ROUND(SQRT((I20-I2)^2+(J20-J2)^2+(K20-K2)^2),2)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Vermilion</t>
        </is>
      </c>
      <c r="E21" t="inlineStr">
        <is>
          <t>pedestal</t>
        </is>
      </c>
      <c r="F21" t="inlineStr">
        <is>
          <t>NR.1</t>
        </is>
      </c>
      <c r="G21" t="inlineStr">
        <is>
          <t>6.13</t>
        </is>
      </c>
      <c r="H21" t="n">
        <v>57</v>
      </c>
      <c r="I21" t="n">
        <v>43.7</v>
      </c>
      <c r="J21" t="n">
        <v>37.64</v>
      </c>
      <c r="K21" t="n">
        <v>21.78</v>
      </c>
      <c r="L21">
        <f>ROUND(SQRT((I21-I2)^2+(J21-J2)^2+(K21-K2)^2),2)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Vermilion</t>
        </is>
      </c>
      <c r="E22" t="inlineStr">
        <is>
          <t>pedestal</t>
        </is>
      </c>
      <c r="F22" t="inlineStr">
        <is>
          <t>NR.1</t>
        </is>
      </c>
      <c r="G22" t="inlineStr">
        <is>
          <t>6.17</t>
        </is>
      </c>
      <c r="H22" t="n">
        <v>61</v>
      </c>
      <c r="I22" t="n">
        <v>43.62</v>
      </c>
      <c r="J22" t="n">
        <v>37.46</v>
      </c>
      <c r="K22" t="n">
        <v>22.1</v>
      </c>
      <c r="L22">
        <f>ROUND(SQRT((I22-I2)^2+(J22-J2)^2+(K22-K2)^2),2)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Vermilion</t>
        </is>
      </c>
      <c r="E23" t="inlineStr">
        <is>
          <t>pedestal</t>
        </is>
      </c>
      <c r="F23" t="inlineStr">
        <is>
          <t>NR.2</t>
        </is>
      </c>
      <c r="G23" t="inlineStr">
        <is>
          <t>4.17</t>
        </is>
      </c>
      <c r="H23" t="n">
        <v>0</v>
      </c>
      <c r="I23" t="n">
        <v>42.84</v>
      </c>
      <c r="J23" t="n">
        <v>37.36</v>
      </c>
      <c r="K23" t="n">
        <v>22.03</v>
      </c>
      <c r="L23" t="n">
        <v>0</v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Vermilion</t>
        </is>
      </c>
      <c r="E24" t="inlineStr">
        <is>
          <t>pedestal</t>
        </is>
      </c>
      <c r="F24" t="inlineStr">
        <is>
          <t>NR.2</t>
        </is>
      </c>
      <c r="G24" t="inlineStr">
        <is>
          <t>4.20</t>
        </is>
      </c>
      <c r="H24" t="n">
        <v>3</v>
      </c>
      <c r="I24" t="n">
        <v>43.35</v>
      </c>
      <c r="J24" t="n">
        <v>37.73</v>
      </c>
      <c r="K24" t="n">
        <v>21.4</v>
      </c>
      <c r="L24">
        <f>ROUND(SQRT((I24-I23)^2+(J24-J23)^2+(K24-K23)^2),2)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Vermilion</t>
        </is>
      </c>
      <c r="E25" t="inlineStr">
        <is>
          <t>pedestal</t>
        </is>
      </c>
      <c r="F25" t="inlineStr">
        <is>
          <t>NR.2</t>
        </is>
      </c>
      <c r="G25" t="inlineStr">
        <is>
          <t>4.23</t>
        </is>
      </c>
      <c r="H25" t="n">
        <v>6</v>
      </c>
      <c r="I25" t="n">
        <v>43.42</v>
      </c>
      <c r="J25" t="n">
        <v>37.09</v>
      </c>
      <c r="K25" t="n">
        <v>21.85</v>
      </c>
      <c r="L25">
        <f>ROUND(SQRT((I25-I23)^2+(J25-J23)^2+(K25-K23)^2),2)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Vermilion</t>
        </is>
      </c>
      <c r="E26" t="inlineStr">
        <is>
          <t>pedestal</t>
        </is>
      </c>
      <c r="F26" t="inlineStr">
        <is>
          <t>NR.2</t>
        </is>
      </c>
      <c r="G26" t="inlineStr">
        <is>
          <t>4.26</t>
        </is>
      </c>
      <c r="H26" t="n">
        <v>9</v>
      </c>
      <c r="I26" t="n">
        <v>42.63</v>
      </c>
      <c r="J26" t="n">
        <v>37.45</v>
      </c>
      <c r="K26" t="n">
        <v>22.71</v>
      </c>
      <c r="L26">
        <f>ROUND(SQRT((I26-I23)^2+(J26-J23)^2+(K26-K23)^2),2)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Vermilion</t>
        </is>
      </c>
      <c r="E27" t="inlineStr">
        <is>
          <t>pedestal</t>
        </is>
      </c>
      <c r="F27" t="inlineStr">
        <is>
          <t>NR.2</t>
        </is>
      </c>
      <c r="G27" t="inlineStr">
        <is>
          <t>4.29</t>
        </is>
      </c>
      <c r="H27" t="n">
        <v>12</v>
      </c>
      <c r="I27" t="n">
        <v>42.56</v>
      </c>
      <c r="J27" t="n">
        <v>37.8</v>
      </c>
      <c r="K27" t="n">
        <v>20.94</v>
      </c>
      <c r="L27">
        <f>ROUND(SQRT((I27-I23)^2+(J27-J23)^2+(K27-K23)^2),2)</f>
        <v/>
      </c>
      <c r="M27" t="inlineStr">
        <is>
          <t>measured</t>
        </is>
      </c>
    </row>
    <row r="28">
      <c r="A28" t="inlineStr">
        <is>
          <t>23C_40RH_room</t>
        </is>
      </c>
      <c r="B28" t="inlineStr">
        <is>
          <t>23 C / 40%RH (room-temp arm)</t>
        </is>
      </c>
      <c r="C28" t="inlineStr">
        <is>
          <t>measured</t>
        </is>
      </c>
      <c r="D28" t="inlineStr">
        <is>
          <t>Vermilion</t>
        </is>
      </c>
      <c r="E28" t="inlineStr">
        <is>
          <t>pedestal</t>
        </is>
      </c>
      <c r="F28" t="inlineStr">
        <is>
          <t>NR.2</t>
        </is>
      </c>
      <c r="G28" t="inlineStr">
        <is>
          <t>5.02</t>
        </is>
      </c>
      <c r="H28" t="n">
        <v>15</v>
      </c>
      <c r="I28" t="n">
        <v>43.49</v>
      </c>
      <c r="J28" t="n">
        <v>37.81</v>
      </c>
      <c r="K28" t="n">
        <v>22.48</v>
      </c>
      <c r="L28">
        <f>ROUND(SQRT((I28-I23)^2+(J28-J23)^2+(K28-K23)^2),2)</f>
        <v/>
      </c>
      <c r="M28" t="inlineStr">
        <is>
          <t>measured</t>
        </is>
      </c>
    </row>
    <row r="29">
      <c r="A29" t="inlineStr">
        <is>
          <t>23C_40RH_room</t>
        </is>
      </c>
      <c r="B29" t="inlineStr">
        <is>
          <t>23 C / 40%RH (room-temp arm)</t>
        </is>
      </c>
      <c r="C29" t="inlineStr">
        <is>
          <t>measured</t>
        </is>
      </c>
      <c r="D29" t="inlineStr">
        <is>
          <t>Vermilion</t>
        </is>
      </c>
      <c r="E29" t="inlineStr">
        <is>
          <t>pedestal</t>
        </is>
      </c>
      <c r="F29" t="inlineStr">
        <is>
          <t>NR.2</t>
        </is>
      </c>
      <c r="G29" t="inlineStr">
        <is>
          <t>5.05</t>
        </is>
      </c>
      <c r="H29" t="n">
        <v>18</v>
      </c>
      <c r="I29" t="n">
        <v>42.77</v>
      </c>
      <c r="J29" t="n">
        <v>37.99</v>
      </c>
      <c r="K29" t="n">
        <v>22.38</v>
      </c>
      <c r="L29">
        <f>ROUND(SQRT((I29-I23)^2+(J29-J23)^2+(K29-K23)^2),2)</f>
        <v/>
      </c>
      <c r="M29" t="inlineStr">
        <is>
          <t>measured</t>
        </is>
      </c>
    </row>
    <row r="30">
      <c r="A30" t="inlineStr">
        <is>
          <t>23C_40RH_room</t>
        </is>
      </c>
      <c r="B30" t="inlineStr">
        <is>
          <t>23 C / 40%RH (room-temp arm)</t>
        </is>
      </c>
      <c r="C30" t="inlineStr">
        <is>
          <t>measured</t>
        </is>
      </c>
      <c r="D30" t="inlineStr">
        <is>
          <t>Vermilion</t>
        </is>
      </c>
      <c r="E30" t="inlineStr">
        <is>
          <t>pedestal</t>
        </is>
      </c>
      <c r="F30" t="inlineStr">
        <is>
          <t>NR.2</t>
        </is>
      </c>
      <c r="G30" t="inlineStr">
        <is>
          <t>5.08</t>
        </is>
      </c>
      <c r="H30" t="n">
        <v>21</v>
      </c>
      <c r="I30" t="n">
        <v>42.02</v>
      </c>
      <c r="J30" t="n">
        <v>37.48</v>
      </c>
      <c r="K30" t="n">
        <v>21.82</v>
      </c>
      <c r="L30">
        <f>ROUND(SQRT((I30-I23)^2+(J30-J23)^2+(K30-K23)^2),2)</f>
        <v/>
      </c>
      <c r="M30" t="inlineStr">
        <is>
          <t>measured</t>
        </is>
      </c>
    </row>
    <row r="31">
      <c r="A31" t="inlineStr">
        <is>
          <t>23C_40RH_room</t>
        </is>
      </c>
      <c r="B31" t="inlineStr">
        <is>
          <t>23 C / 40%RH (room-temp arm)</t>
        </is>
      </c>
      <c r="C31" t="inlineStr">
        <is>
          <t>measured</t>
        </is>
      </c>
      <c r="D31" t="inlineStr">
        <is>
          <t>Vermilion</t>
        </is>
      </c>
      <c r="E31" t="inlineStr">
        <is>
          <t>pedestal</t>
        </is>
      </c>
      <c r="F31" t="inlineStr">
        <is>
          <t>NR.2</t>
        </is>
      </c>
      <c r="G31" t="inlineStr">
        <is>
          <t>5.11</t>
        </is>
      </c>
      <c r="H31" t="n">
        <v>24</v>
      </c>
      <c r="I31" t="n">
        <v>42.13</v>
      </c>
      <c r="J31" t="n">
        <v>37.28</v>
      </c>
      <c r="K31" t="n">
        <v>21.26</v>
      </c>
      <c r="L31">
        <f>ROUND(SQRT((I31-I23)^2+(J31-J23)^2+(K31-K23)^2),2)</f>
        <v/>
      </c>
      <c r="M31" t="inlineStr">
        <is>
          <t>measured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Vermilion</t>
        </is>
      </c>
      <c r="E32" t="inlineStr">
        <is>
          <t>pedestal</t>
        </is>
      </c>
      <c r="F32" t="inlineStr">
        <is>
          <t>NR.2</t>
        </is>
      </c>
      <c r="G32" t="inlineStr">
        <is>
          <t>5.12</t>
        </is>
      </c>
      <c r="H32" t="n">
        <v>25</v>
      </c>
      <c r="I32" t="n">
        <v>42.28</v>
      </c>
      <c r="J32" t="n">
        <v>37.53</v>
      </c>
      <c r="K32" t="n">
        <v>22.33</v>
      </c>
      <c r="L32">
        <f>ROUND(SQRT((I32-I23)^2+(J32-J23)^2+(K32-K23)^2),2)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Vermilion</t>
        </is>
      </c>
      <c r="E33" t="inlineStr">
        <is>
          <t>pedestal</t>
        </is>
      </c>
      <c r="F33" t="inlineStr">
        <is>
          <t>NR.2</t>
        </is>
      </c>
      <c r="G33" t="inlineStr">
        <is>
          <t>5.14</t>
        </is>
      </c>
      <c r="H33" t="n">
        <v>27</v>
      </c>
      <c r="I33" t="n">
        <v>43.28</v>
      </c>
      <c r="J33" t="n">
        <v>36.42</v>
      </c>
      <c r="K33" t="n">
        <v>21.93</v>
      </c>
      <c r="L33">
        <f>ROUND(SQRT((I33-I23)^2+(J33-J23)^2+(K33-K23)^2),2)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Vermilion</t>
        </is>
      </c>
      <c r="E34" t="inlineStr">
        <is>
          <t>pedestal</t>
        </is>
      </c>
      <c r="F34" t="inlineStr">
        <is>
          <t>NR.2</t>
        </is>
      </c>
      <c r="G34" t="inlineStr">
        <is>
          <t>5.18</t>
        </is>
      </c>
      <c r="H34" t="n">
        <v>31</v>
      </c>
      <c r="I34" t="n">
        <v>43.05</v>
      </c>
      <c r="J34" t="n">
        <v>36.62</v>
      </c>
      <c r="K34" t="n">
        <v>22.5</v>
      </c>
      <c r="L34">
        <f>ROUND(SQRT((I34-I23)^2+(J34-J23)^2+(K34-K23)^2),2)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Vermilion</t>
        </is>
      </c>
      <c r="E35" t="inlineStr">
        <is>
          <t>pedestal</t>
        </is>
      </c>
      <c r="F35" t="inlineStr">
        <is>
          <t>NR.2</t>
        </is>
      </c>
      <c r="G35" t="inlineStr">
        <is>
          <t>5.21</t>
        </is>
      </c>
      <c r="H35" t="n">
        <v>34</v>
      </c>
      <c r="I35" t="n">
        <v>43.44</v>
      </c>
      <c r="J35" t="n">
        <v>36.74</v>
      </c>
      <c r="K35" t="n">
        <v>22.39</v>
      </c>
      <c r="L35">
        <f>ROUND(SQRT((I35-I23)^2+(J35-J23)^2+(K35-K23)^2),2)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Vermilion</t>
        </is>
      </c>
      <c r="E36" t="inlineStr">
        <is>
          <t>pedestal</t>
        </is>
      </c>
      <c r="F36" t="inlineStr">
        <is>
          <t>NR.2</t>
        </is>
      </c>
      <c r="G36" t="inlineStr">
        <is>
          <t>5.24</t>
        </is>
      </c>
      <c r="H36" t="n">
        <v>37</v>
      </c>
      <c r="I36" t="n">
        <v>42.67</v>
      </c>
      <c r="J36" t="n">
        <v>36.99</v>
      </c>
      <c r="K36" t="n">
        <v>23.52</v>
      </c>
      <c r="L36">
        <f>ROUND(SQRT((I36-I23)^2+(J36-J23)^2+(K36-K23)^2),2)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Vermilion</t>
        </is>
      </c>
      <c r="E37" t="inlineStr">
        <is>
          <t>pedestal</t>
        </is>
      </c>
      <c r="F37" t="inlineStr">
        <is>
          <t>NR.2</t>
        </is>
      </c>
      <c r="G37" t="inlineStr">
        <is>
          <t>5.28</t>
        </is>
      </c>
      <c r="H37" t="n">
        <v>41</v>
      </c>
      <c r="I37" t="n">
        <v>43.09</v>
      </c>
      <c r="J37" t="n">
        <v>38.01</v>
      </c>
      <c r="K37" t="n">
        <v>22.27</v>
      </c>
      <c r="L37">
        <f>ROUND(SQRT((I37-I23)^2+(J37-J23)^2+(K37-K23)^2),2)</f>
        <v/>
      </c>
      <c r="M37" t="inlineStr">
        <is>
          <t>measured</t>
        </is>
      </c>
    </row>
    <row r="38">
      <c r="A38" t="inlineStr">
        <is>
          <t>23C_40RH_room</t>
        </is>
      </c>
      <c r="B38" t="inlineStr">
        <is>
          <t>23 C / 40%RH (room-temp arm)</t>
        </is>
      </c>
      <c r="C38" t="inlineStr">
        <is>
          <t>measured</t>
        </is>
      </c>
      <c r="D38" t="inlineStr">
        <is>
          <t>Vermilion</t>
        </is>
      </c>
      <c r="E38" t="inlineStr">
        <is>
          <t>pedestal</t>
        </is>
      </c>
      <c r="F38" t="inlineStr">
        <is>
          <t>NR.2</t>
        </is>
      </c>
      <c r="G38" t="inlineStr">
        <is>
          <t>5.31</t>
        </is>
      </c>
      <c r="H38" t="n">
        <v>44</v>
      </c>
      <c r="I38" t="n">
        <v>43.43</v>
      </c>
      <c r="J38" t="n">
        <v>37.12</v>
      </c>
      <c r="K38" t="n">
        <v>21.75</v>
      </c>
      <c r="L38">
        <f>ROUND(SQRT((I38-I23)^2+(J38-J23)^2+(K38-K23)^2),2)</f>
        <v/>
      </c>
      <c r="M38" t="inlineStr">
        <is>
          <t>measured</t>
        </is>
      </c>
    </row>
    <row r="39">
      <c r="A39" t="inlineStr">
        <is>
          <t>23C_40RH_room</t>
        </is>
      </c>
      <c r="B39" t="inlineStr">
        <is>
          <t>23 C / 40%RH (room-temp arm)</t>
        </is>
      </c>
      <c r="C39" t="inlineStr">
        <is>
          <t>measured</t>
        </is>
      </c>
      <c r="D39" t="inlineStr">
        <is>
          <t>Vermilion</t>
        </is>
      </c>
      <c r="E39" t="inlineStr">
        <is>
          <t>pedestal</t>
        </is>
      </c>
      <c r="F39" t="inlineStr">
        <is>
          <t>NR.2</t>
        </is>
      </c>
      <c r="G39" t="inlineStr">
        <is>
          <t>6.03</t>
        </is>
      </c>
      <c r="H39" t="n">
        <v>47</v>
      </c>
      <c r="I39" t="n">
        <v>42.78</v>
      </c>
      <c r="J39" t="n">
        <v>37.51</v>
      </c>
      <c r="K39" t="n">
        <v>22.63</v>
      </c>
      <c r="L39">
        <f>ROUND(SQRT((I39-I23)^2+(J39-J23)^2+(K39-K23)^2),2)</f>
        <v/>
      </c>
      <c r="M39" t="inlineStr">
        <is>
          <t>measured</t>
        </is>
      </c>
    </row>
    <row r="40">
      <c r="A40" t="inlineStr">
        <is>
          <t>23C_40RH_room</t>
        </is>
      </c>
      <c r="B40" t="inlineStr">
        <is>
          <t>23 C / 40%RH (room-temp arm)</t>
        </is>
      </c>
      <c r="C40" t="inlineStr">
        <is>
          <t>measured</t>
        </is>
      </c>
      <c r="D40" t="inlineStr">
        <is>
          <t>Vermilion</t>
        </is>
      </c>
      <c r="E40" t="inlineStr">
        <is>
          <t>pedestal</t>
        </is>
      </c>
      <c r="F40" t="inlineStr">
        <is>
          <t>NR.2</t>
        </is>
      </c>
      <c r="G40" t="inlineStr">
        <is>
          <t>6.06</t>
        </is>
      </c>
      <c r="H40" t="n">
        <v>50</v>
      </c>
      <c r="I40" t="n">
        <v>43.33</v>
      </c>
      <c r="J40" t="n">
        <v>38.72</v>
      </c>
      <c r="K40" t="n">
        <v>22.68</v>
      </c>
      <c r="L40">
        <f>ROUND(SQRT((I40-I23)^2+(J40-J23)^2+(K40-K23)^2),2)</f>
        <v/>
      </c>
      <c r="M40" t="inlineStr">
        <is>
          <t>measured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Vermilion</t>
        </is>
      </c>
      <c r="E41" t="inlineStr">
        <is>
          <t>pedestal</t>
        </is>
      </c>
      <c r="F41" t="inlineStr">
        <is>
          <t>NR.2</t>
        </is>
      </c>
      <c r="G41" t="inlineStr">
        <is>
          <t>6.09</t>
        </is>
      </c>
      <c r="H41" t="n">
        <v>53</v>
      </c>
      <c r="I41" t="n">
        <v>42.56</v>
      </c>
      <c r="J41" t="n">
        <v>37.58</v>
      </c>
      <c r="K41" t="n">
        <v>23.51</v>
      </c>
      <c r="L41">
        <f>ROUND(SQRT((I41-I23)^2+(J41-J23)^2+(K41-K23)^2),2)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Vermilion</t>
        </is>
      </c>
      <c r="E42" t="inlineStr">
        <is>
          <t>pedestal</t>
        </is>
      </c>
      <c r="F42" t="inlineStr">
        <is>
          <t>NR.2</t>
        </is>
      </c>
      <c r="G42" t="inlineStr">
        <is>
          <t>6.13</t>
        </is>
      </c>
      <c r="H42" t="n">
        <v>57</v>
      </c>
      <c r="I42" t="n">
        <v>42.78</v>
      </c>
      <c r="J42" t="n">
        <v>38.38</v>
      </c>
      <c r="K42" t="n">
        <v>23.18</v>
      </c>
      <c r="L42">
        <f>ROUND(SQRT((I42-I23)^2+(J42-J23)^2+(K42-K23)^2),2)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Vermilion</t>
        </is>
      </c>
      <c r="E43" t="inlineStr">
        <is>
          <t>pedestal</t>
        </is>
      </c>
      <c r="F43" t="inlineStr">
        <is>
          <t>NR.2</t>
        </is>
      </c>
      <c r="G43" t="inlineStr">
        <is>
          <t>6.17</t>
        </is>
      </c>
      <c r="H43" t="n">
        <v>61</v>
      </c>
      <c r="I43" t="n">
        <v>42.78</v>
      </c>
      <c r="J43" t="n">
        <v>37.25</v>
      </c>
      <c r="K43" t="n">
        <v>22.89</v>
      </c>
      <c r="L43">
        <f>ROUND(SQRT((I43-I23)^2+(J43-J23)^2+(K43-K23)^2),2)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Vermilion</t>
        </is>
      </c>
      <c r="E44" t="inlineStr">
        <is>
          <t>pedestal</t>
        </is>
      </c>
      <c r="F44" t="inlineStr">
        <is>
          <t>NR.3</t>
        </is>
      </c>
      <c r="G44" t="inlineStr">
        <is>
          <t>4.17</t>
        </is>
      </c>
      <c r="H44" t="n">
        <v>0</v>
      </c>
      <c r="I44" t="n">
        <v>44.58</v>
      </c>
      <c r="J44" t="n">
        <v>35.29</v>
      </c>
      <c r="K44" t="n">
        <v>20.23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Vermilion</t>
        </is>
      </c>
      <c r="E45" t="inlineStr">
        <is>
          <t>pedestal</t>
        </is>
      </c>
      <c r="F45" t="inlineStr">
        <is>
          <t>NR.3</t>
        </is>
      </c>
      <c r="G45" t="inlineStr">
        <is>
          <t>4.20</t>
        </is>
      </c>
      <c r="H45" t="n">
        <v>3</v>
      </c>
      <c r="I45" t="n">
        <v>43.79</v>
      </c>
      <c r="J45" t="n">
        <v>36.02</v>
      </c>
      <c r="K45" t="n">
        <v>20.21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Vermilion</t>
        </is>
      </c>
      <c r="E46" t="inlineStr">
        <is>
          <t>pedestal</t>
        </is>
      </c>
      <c r="F46" t="inlineStr">
        <is>
          <t>NR.3</t>
        </is>
      </c>
      <c r="G46" t="inlineStr">
        <is>
          <t>4.23</t>
        </is>
      </c>
      <c r="H46" t="n">
        <v>6</v>
      </c>
      <c r="I46" t="n">
        <v>44.21</v>
      </c>
      <c r="J46" t="n">
        <v>35.37</v>
      </c>
      <c r="K46" t="n">
        <v>19.79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Vermilion</t>
        </is>
      </c>
      <c r="E47" t="inlineStr">
        <is>
          <t>pedestal</t>
        </is>
      </c>
      <c r="F47" t="inlineStr">
        <is>
          <t>NR.3</t>
        </is>
      </c>
      <c r="G47" t="inlineStr">
        <is>
          <t>4.26</t>
        </is>
      </c>
      <c r="H47" t="n">
        <v>9</v>
      </c>
      <c r="I47" t="n">
        <v>44.04</v>
      </c>
      <c r="J47" t="n">
        <v>35.14</v>
      </c>
      <c r="K47" t="n">
        <v>20.58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Vermilion</t>
        </is>
      </c>
      <c r="E48" t="inlineStr">
        <is>
          <t>pedestal</t>
        </is>
      </c>
      <c r="F48" t="inlineStr">
        <is>
          <t>NR.3</t>
        </is>
      </c>
      <c r="G48" t="inlineStr">
        <is>
          <t>4.29</t>
        </is>
      </c>
      <c r="H48" t="n">
        <v>12</v>
      </c>
      <c r="I48" t="n">
        <v>44.46</v>
      </c>
      <c r="J48" t="n">
        <v>34.51</v>
      </c>
      <c r="K48" t="n">
        <v>19.96</v>
      </c>
      <c r="L48">
        <f>ROUND(SQRT((I48-I44)^2+(J48-J44)^2+(K48-K44)^2),2)</f>
        <v/>
      </c>
      <c r="M48" t="inlineStr">
        <is>
          <t>measured</t>
        </is>
      </c>
    </row>
    <row r="49">
      <c r="A49" t="inlineStr">
        <is>
          <t>23C_40RH_room</t>
        </is>
      </c>
      <c r="B49" t="inlineStr">
        <is>
          <t>23 C / 40%RH (room-temp arm)</t>
        </is>
      </c>
      <c r="C49" t="inlineStr">
        <is>
          <t>measured</t>
        </is>
      </c>
      <c r="D49" t="inlineStr">
        <is>
          <t>Vermilion</t>
        </is>
      </c>
      <c r="E49" t="inlineStr">
        <is>
          <t>pedestal</t>
        </is>
      </c>
      <c r="F49" t="inlineStr">
        <is>
          <t>NR.3</t>
        </is>
      </c>
      <c r="G49" t="inlineStr">
        <is>
          <t>5.02</t>
        </is>
      </c>
      <c r="H49" t="n">
        <v>15</v>
      </c>
      <c r="I49" t="n">
        <v>43.8</v>
      </c>
      <c r="J49" t="n">
        <v>34.05</v>
      </c>
      <c r="K49" t="n">
        <v>19.43</v>
      </c>
      <c r="L49">
        <f>ROUND(SQRT((I49-I44)^2+(J49-J44)^2+(K49-K44)^2),2)</f>
        <v/>
      </c>
      <c r="M49" t="inlineStr">
        <is>
          <t>measured</t>
        </is>
      </c>
    </row>
    <row r="50">
      <c r="A50" t="inlineStr">
        <is>
          <t>23C_40RH_room</t>
        </is>
      </c>
      <c r="B50" t="inlineStr">
        <is>
          <t>23 C / 40%RH (room-temp arm)</t>
        </is>
      </c>
      <c r="C50" t="inlineStr">
        <is>
          <t>measured</t>
        </is>
      </c>
      <c r="D50" t="inlineStr">
        <is>
          <t>Vermilion</t>
        </is>
      </c>
      <c r="E50" t="inlineStr">
        <is>
          <t>pedestal</t>
        </is>
      </c>
      <c r="F50" t="inlineStr">
        <is>
          <t>NR.3</t>
        </is>
      </c>
      <c r="G50" t="inlineStr">
        <is>
          <t>5.05</t>
        </is>
      </c>
      <c r="H50" t="n">
        <v>18</v>
      </c>
      <c r="I50" t="n">
        <v>45.25</v>
      </c>
      <c r="J50" t="n">
        <v>34.86</v>
      </c>
      <c r="K50" t="n">
        <v>19.4</v>
      </c>
      <c r="L50">
        <f>ROUND(SQRT((I50-I44)^2+(J50-J44)^2+(K50-K44)^2),2)</f>
        <v/>
      </c>
      <c r="M50" t="inlineStr">
        <is>
          <t>measured</t>
        </is>
      </c>
    </row>
    <row r="51">
      <c r="A51" t="inlineStr">
        <is>
          <t>23C_40RH_room</t>
        </is>
      </c>
      <c r="B51" t="inlineStr">
        <is>
          <t>23 C / 40%RH (room-temp arm)</t>
        </is>
      </c>
      <c r="C51" t="inlineStr">
        <is>
          <t>measured</t>
        </is>
      </c>
      <c r="D51" t="inlineStr">
        <is>
          <t>Vermilion</t>
        </is>
      </c>
      <c r="E51" t="inlineStr">
        <is>
          <t>pedestal</t>
        </is>
      </c>
      <c r="F51" t="inlineStr">
        <is>
          <t>NR.3</t>
        </is>
      </c>
      <c r="G51" t="inlineStr">
        <is>
          <t>5.08</t>
        </is>
      </c>
      <c r="H51" t="n">
        <v>21</v>
      </c>
      <c r="I51" t="n">
        <v>44.69</v>
      </c>
      <c r="J51" t="n">
        <v>35.15</v>
      </c>
      <c r="K51" t="n">
        <v>20.43</v>
      </c>
      <c r="L51">
        <f>ROUND(SQRT((I51-I44)^2+(J51-J44)^2+(K51-K44)^2),2)</f>
        <v/>
      </c>
      <c r="M51" t="inlineStr">
        <is>
          <t>measured</t>
        </is>
      </c>
    </row>
    <row r="52">
      <c r="A52" t="inlineStr">
        <is>
          <t>23C_40RH_room</t>
        </is>
      </c>
      <c r="B52" t="inlineStr">
        <is>
          <t>23 C / 40%RH (room-temp arm)</t>
        </is>
      </c>
      <c r="C52" t="inlineStr">
        <is>
          <t>measured</t>
        </is>
      </c>
      <c r="D52" t="inlineStr">
        <is>
          <t>Vermilion</t>
        </is>
      </c>
      <c r="E52" t="inlineStr">
        <is>
          <t>pedestal</t>
        </is>
      </c>
      <c r="F52" t="inlineStr">
        <is>
          <t>NR.3</t>
        </is>
      </c>
      <c r="G52" t="inlineStr">
        <is>
          <t>5.11</t>
        </is>
      </c>
      <c r="H52" t="n">
        <v>24</v>
      </c>
      <c r="I52" t="n">
        <v>43.85</v>
      </c>
      <c r="J52" t="n">
        <v>36.41</v>
      </c>
      <c r="K52" t="n">
        <v>21.43</v>
      </c>
      <c r="L52">
        <f>ROUND(SQRT((I52-I44)^2+(J52-J44)^2+(K52-K44)^2),2)</f>
        <v/>
      </c>
      <c r="M52" t="inlineStr">
        <is>
          <t>measured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Vermilion</t>
        </is>
      </c>
      <c r="E53" t="inlineStr">
        <is>
          <t>pedestal</t>
        </is>
      </c>
      <c r="F53" t="inlineStr">
        <is>
          <t>NR.3</t>
        </is>
      </c>
      <c r="G53" t="inlineStr">
        <is>
          <t>5.12</t>
        </is>
      </c>
      <c r="H53" t="n">
        <v>25</v>
      </c>
      <c r="I53" t="n">
        <v>44.18</v>
      </c>
      <c r="J53" t="n">
        <v>35.26</v>
      </c>
      <c r="K53" t="n">
        <v>20.44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Vermilion</t>
        </is>
      </c>
      <c r="E54" t="inlineStr">
        <is>
          <t>pedestal</t>
        </is>
      </c>
      <c r="F54" t="inlineStr">
        <is>
          <t>NR.3</t>
        </is>
      </c>
      <c r="G54" t="inlineStr">
        <is>
          <t>5.14</t>
        </is>
      </c>
      <c r="H54" t="n">
        <v>27</v>
      </c>
      <c r="I54" t="n">
        <v>45.14</v>
      </c>
      <c r="J54" t="n">
        <v>35.85</v>
      </c>
      <c r="K54" t="n">
        <v>20.25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Vermilion</t>
        </is>
      </c>
      <c r="E55" t="inlineStr">
        <is>
          <t>pedestal</t>
        </is>
      </c>
      <c r="F55" t="inlineStr">
        <is>
          <t>NR.3</t>
        </is>
      </c>
      <c r="G55" t="inlineStr">
        <is>
          <t>5.18</t>
        </is>
      </c>
      <c r="H55" t="n">
        <v>31</v>
      </c>
      <c r="I55" t="n">
        <v>45.55</v>
      </c>
      <c r="J55" t="n">
        <v>34.79</v>
      </c>
      <c r="K55" t="n">
        <v>20.55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Vermilion</t>
        </is>
      </c>
      <c r="E56" t="inlineStr">
        <is>
          <t>pedestal</t>
        </is>
      </c>
      <c r="F56" t="inlineStr">
        <is>
          <t>NR.3</t>
        </is>
      </c>
      <c r="G56" t="inlineStr">
        <is>
          <t>5.21</t>
        </is>
      </c>
      <c r="H56" t="n">
        <v>34</v>
      </c>
      <c r="I56" t="n">
        <v>46.4</v>
      </c>
      <c r="J56" t="n">
        <v>34.3</v>
      </c>
      <c r="K56" t="n">
        <v>21.27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Vermilion</t>
        </is>
      </c>
      <c r="E57" t="inlineStr">
        <is>
          <t>pedestal</t>
        </is>
      </c>
      <c r="F57" t="inlineStr">
        <is>
          <t>NR.3</t>
        </is>
      </c>
      <c r="G57" t="inlineStr">
        <is>
          <t>5.24</t>
        </is>
      </c>
      <c r="H57" t="n">
        <v>37</v>
      </c>
      <c r="I57" t="n">
        <v>47.08</v>
      </c>
      <c r="J57" t="n">
        <v>34.44</v>
      </c>
      <c r="K57" t="n">
        <v>20.52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Vermilion</t>
        </is>
      </c>
      <c r="E58" t="inlineStr">
        <is>
          <t>pedestal</t>
        </is>
      </c>
      <c r="F58" t="inlineStr">
        <is>
          <t>NR.3</t>
        </is>
      </c>
      <c r="G58" t="inlineStr">
        <is>
          <t>5.28</t>
        </is>
      </c>
      <c r="H58" t="n">
        <v>41</v>
      </c>
      <c r="I58" t="n">
        <v>45.38</v>
      </c>
      <c r="J58" t="n">
        <v>34.59</v>
      </c>
      <c r="K58" t="n">
        <v>20.1</v>
      </c>
      <c r="L58">
        <f>ROUND(SQRT((I58-I44)^2+(J58-J44)^2+(K58-K44)^2),2)</f>
        <v/>
      </c>
      <c r="M58" t="inlineStr">
        <is>
          <t>measured</t>
        </is>
      </c>
    </row>
    <row r="59">
      <c r="A59" t="inlineStr">
        <is>
          <t>23C_40RH_room</t>
        </is>
      </c>
      <c r="B59" t="inlineStr">
        <is>
          <t>23 C / 40%RH (room-temp arm)</t>
        </is>
      </c>
      <c r="C59" t="inlineStr">
        <is>
          <t>measured</t>
        </is>
      </c>
      <c r="D59" t="inlineStr">
        <is>
          <t>Vermilion</t>
        </is>
      </c>
      <c r="E59" t="inlineStr">
        <is>
          <t>pedestal</t>
        </is>
      </c>
      <c r="F59" t="inlineStr">
        <is>
          <t>NR.3</t>
        </is>
      </c>
      <c r="G59" t="inlineStr">
        <is>
          <t>5.31</t>
        </is>
      </c>
      <c r="H59" t="n">
        <v>44</v>
      </c>
      <c r="I59" t="n">
        <v>44.44</v>
      </c>
      <c r="J59" t="n">
        <v>36.57</v>
      </c>
      <c r="K59" t="n">
        <v>21.17</v>
      </c>
      <c r="L59">
        <f>ROUND(SQRT((I59-I44)^2+(J59-J44)^2+(K59-K44)^2),2)</f>
        <v/>
      </c>
      <c r="M59" t="inlineStr">
        <is>
          <t>measured</t>
        </is>
      </c>
    </row>
    <row r="60">
      <c r="A60" t="inlineStr">
        <is>
          <t>23C_40RH_room</t>
        </is>
      </c>
      <c r="B60" t="inlineStr">
        <is>
          <t>23 C / 40%RH (room-temp arm)</t>
        </is>
      </c>
      <c r="C60" t="inlineStr">
        <is>
          <t>measured</t>
        </is>
      </c>
      <c r="D60" t="inlineStr">
        <is>
          <t>Vermilion</t>
        </is>
      </c>
      <c r="E60" t="inlineStr">
        <is>
          <t>pedestal</t>
        </is>
      </c>
      <c r="F60" t="inlineStr">
        <is>
          <t>NR.3</t>
        </is>
      </c>
      <c r="G60" t="inlineStr">
        <is>
          <t>6.03</t>
        </is>
      </c>
      <c r="H60" t="n">
        <v>47</v>
      </c>
      <c r="I60" t="n">
        <v>43.67</v>
      </c>
      <c r="J60" t="n">
        <v>34.49</v>
      </c>
      <c r="K60" t="n">
        <v>20.71</v>
      </c>
      <c r="L60">
        <f>ROUND(SQRT((I60-I44)^2+(J60-J44)^2+(K60-K44)^2),2)</f>
        <v/>
      </c>
      <c r="M60" t="inlineStr">
        <is>
          <t>measured</t>
        </is>
      </c>
    </row>
    <row r="61">
      <c r="A61" t="inlineStr">
        <is>
          <t>23C_40RH_room</t>
        </is>
      </c>
      <c r="B61" t="inlineStr">
        <is>
          <t>23 C / 40%RH (room-temp arm)</t>
        </is>
      </c>
      <c r="C61" t="inlineStr">
        <is>
          <t>measured</t>
        </is>
      </c>
      <c r="D61" t="inlineStr">
        <is>
          <t>Vermilion</t>
        </is>
      </c>
      <c r="E61" t="inlineStr">
        <is>
          <t>pedestal</t>
        </is>
      </c>
      <c r="F61" t="inlineStr">
        <is>
          <t>NR.3</t>
        </is>
      </c>
      <c r="G61" t="inlineStr">
        <is>
          <t>6.06</t>
        </is>
      </c>
      <c r="H61" t="n">
        <v>50</v>
      </c>
      <c r="I61" t="n">
        <v>45.39</v>
      </c>
      <c r="J61" t="n">
        <v>35.64</v>
      </c>
      <c r="K61" t="n">
        <v>21.5</v>
      </c>
      <c r="L61">
        <f>ROUND(SQRT((I61-I44)^2+(J61-J44)^2+(K61-K44)^2),2)</f>
        <v/>
      </c>
      <c r="M61" t="inlineStr">
        <is>
          <t>measured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Vermilion</t>
        </is>
      </c>
      <c r="E62" t="inlineStr">
        <is>
          <t>pedestal</t>
        </is>
      </c>
      <c r="F62" t="inlineStr">
        <is>
          <t>NR.3</t>
        </is>
      </c>
      <c r="G62" t="inlineStr">
        <is>
          <t>6.09</t>
        </is>
      </c>
      <c r="H62" t="n">
        <v>53</v>
      </c>
      <c r="I62" t="n">
        <v>44.67</v>
      </c>
      <c r="J62" t="n">
        <v>34.41</v>
      </c>
      <c r="K62" t="n">
        <v>20.56</v>
      </c>
      <c r="L62">
        <f>ROUND(SQRT((I62-I44)^2+(J62-J44)^2+(K62-K44)^2),2)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Vermilion</t>
        </is>
      </c>
      <c r="E63" t="inlineStr">
        <is>
          <t>pedestal</t>
        </is>
      </c>
      <c r="F63" t="inlineStr">
        <is>
          <t>NR.3</t>
        </is>
      </c>
      <c r="G63" t="inlineStr">
        <is>
          <t>6.13</t>
        </is>
      </c>
      <c r="H63" t="n">
        <v>57</v>
      </c>
      <c r="I63" t="n">
        <v>45</v>
      </c>
      <c r="J63" t="n">
        <v>35.67</v>
      </c>
      <c r="K63" t="n">
        <v>19.59</v>
      </c>
      <c r="L63">
        <f>ROUND(SQRT((I63-I44)^2+(J63-J44)^2+(K63-K44)^2),2)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Vermilion</t>
        </is>
      </c>
      <c r="E64" t="inlineStr">
        <is>
          <t>pedestal</t>
        </is>
      </c>
      <c r="F64" t="inlineStr">
        <is>
          <t>NR.3</t>
        </is>
      </c>
      <c r="G64" t="inlineStr">
        <is>
          <t>6.17</t>
        </is>
      </c>
      <c r="H64" t="n">
        <v>61</v>
      </c>
      <c r="I64" t="n">
        <v>44.91</v>
      </c>
      <c r="J64" t="n">
        <v>35.27</v>
      </c>
      <c r="K64" t="n">
        <v>19.5</v>
      </c>
      <c r="L64">
        <f>ROUND(SQRT((I64-I44)^2+(J64-J44)^2+(K64-K44)^2),2)</f>
        <v/>
      </c>
      <c r="M64" t="inlineStr">
        <is>
          <t>measured</t>
        </is>
      </c>
    </row>
    <row r="65">
      <c r="A65" t="inlineStr">
        <is>
          <t>23C_40RH_room</t>
        </is>
      </c>
      <c r="B65" t="inlineStr">
        <is>
          <t>23 C / 40%RH (room-temp arm)</t>
        </is>
      </c>
      <c r="C65" t="inlineStr">
        <is>
          <t>measured</t>
        </is>
      </c>
      <c r="D65" t="inlineStr">
        <is>
          <t>Vermilion</t>
        </is>
      </c>
      <c r="E65" t="inlineStr">
        <is>
          <t>block</t>
        </is>
      </c>
      <c r="F65" t="inlineStr">
        <is>
          <t>NTR.1</t>
        </is>
      </c>
      <c r="G65" t="inlineStr">
        <is>
          <t>4.17</t>
        </is>
      </c>
      <c r="H65" t="n">
        <v>0</v>
      </c>
      <c r="I65" t="n">
        <v>45.4</v>
      </c>
      <c r="J65" t="n">
        <v>36.54</v>
      </c>
      <c r="K65" t="n">
        <v>18.53</v>
      </c>
      <c r="L65" t="n">
        <v>0</v>
      </c>
      <c r="M65" t="inlineStr">
        <is>
          <t>measured</t>
        </is>
      </c>
    </row>
    <row r="66">
      <c r="A66" t="inlineStr">
        <is>
          <t>23C_40RH_room</t>
        </is>
      </c>
      <c r="B66" t="inlineStr">
        <is>
          <t>23 C / 40%RH (room-temp arm)</t>
        </is>
      </c>
      <c r="C66" t="inlineStr">
        <is>
          <t>measured</t>
        </is>
      </c>
      <c r="D66" t="inlineStr">
        <is>
          <t>Vermilion</t>
        </is>
      </c>
      <c r="E66" t="inlineStr">
        <is>
          <t>block</t>
        </is>
      </c>
      <c r="F66" t="inlineStr">
        <is>
          <t>NTR.1</t>
        </is>
      </c>
      <c r="G66" t="inlineStr">
        <is>
          <t>4.20</t>
        </is>
      </c>
      <c r="H66" t="n">
        <v>3</v>
      </c>
      <c r="I66" t="n">
        <v>45.83</v>
      </c>
      <c r="J66" t="n">
        <v>37.64</v>
      </c>
      <c r="K66" t="n">
        <v>17.8</v>
      </c>
      <c r="L66">
        <f>ROUND(SQRT((I66-I65)^2+(J66-J65)^2+(K66-K65)^2),2)</f>
        <v/>
      </c>
      <c r="M66" t="inlineStr">
        <is>
          <t>measured</t>
        </is>
      </c>
    </row>
    <row r="67">
      <c r="A67" t="inlineStr">
        <is>
          <t>23C_40RH_room</t>
        </is>
      </c>
      <c r="B67" t="inlineStr">
        <is>
          <t>23 C / 40%RH (room-temp arm)</t>
        </is>
      </c>
      <c r="C67" t="inlineStr">
        <is>
          <t>measured</t>
        </is>
      </c>
      <c r="D67" t="inlineStr">
        <is>
          <t>Vermilion</t>
        </is>
      </c>
      <c r="E67" t="inlineStr">
        <is>
          <t>block</t>
        </is>
      </c>
      <c r="F67" t="inlineStr">
        <is>
          <t>NTR.1</t>
        </is>
      </c>
      <c r="G67" t="inlineStr">
        <is>
          <t>4.23</t>
        </is>
      </c>
      <c r="H67" t="n">
        <v>6</v>
      </c>
      <c r="I67" t="n">
        <v>45.62</v>
      </c>
      <c r="J67" t="n">
        <v>35.62</v>
      </c>
      <c r="K67" t="n">
        <v>18.69</v>
      </c>
      <c r="L67">
        <f>ROUND(SQRT((I67-I65)^2+(J67-J65)^2+(K67-K65)^2),2)</f>
        <v/>
      </c>
      <c r="M67" t="inlineStr">
        <is>
          <t>measured</t>
        </is>
      </c>
    </row>
    <row r="68">
      <c r="A68" t="inlineStr">
        <is>
          <t>23C_40RH_room</t>
        </is>
      </c>
      <c r="B68" t="inlineStr">
        <is>
          <t>23 C / 40%RH (room-temp arm)</t>
        </is>
      </c>
      <c r="C68" t="inlineStr">
        <is>
          <t>measured</t>
        </is>
      </c>
      <c r="D68" t="inlineStr">
        <is>
          <t>Vermilion</t>
        </is>
      </c>
      <c r="E68" t="inlineStr">
        <is>
          <t>block</t>
        </is>
      </c>
      <c r="F68" t="inlineStr">
        <is>
          <t>NTR.1</t>
        </is>
      </c>
      <c r="G68" t="inlineStr">
        <is>
          <t>4.26</t>
        </is>
      </c>
      <c r="H68" t="n">
        <v>9</v>
      </c>
      <c r="I68" t="n">
        <v>44.51</v>
      </c>
      <c r="J68" t="n">
        <v>36.62</v>
      </c>
      <c r="K68" t="n">
        <v>17.52</v>
      </c>
      <c r="L68">
        <f>ROUND(SQRT((I68-I65)^2+(J68-J65)^2+(K68-K65)^2),2)</f>
        <v/>
      </c>
      <c r="M68" t="inlineStr">
        <is>
          <t>measured</t>
        </is>
      </c>
    </row>
    <row r="69">
      <c r="A69" t="inlineStr">
        <is>
          <t>23C_40RH_room</t>
        </is>
      </c>
      <c r="B69" t="inlineStr">
        <is>
          <t>23 C / 40%RH (room-temp arm)</t>
        </is>
      </c>
      <c r="C69" t="inlineStr">
        <is>
          <t>measured</t>
        </is>
      </c>
      <c r="D69" t="inlineStr">
        <is>
          <t>Vermilion</t>
        </is>
      </c>
      <c r="E69" t="inlineStr">
        <is>
          <t>block</t>
        </is>
      </c>
      <c r="F69" t="inlineStr">
        <is>
          <t>NTR.1</t>
        </is>
      </c>
      <c r="G69" t="inlineStr">
        <is>
          <t>4.29</t>
        </is>
      </c>
      <c r="H69" t="n">
        <v>12</v>
      </c>
      <c r="I69" t="n">
        <v>45.52</v>
      </c>
      <c r="J69" t="n">
        <v>37.69</v>
      </c>
      <c r="K69" t="n">
        <v>18.83</v>
      </c>
      <c r="L69">
        <f>ROUND(SQRT((I69-I65)^2+(J69-J65)^2+(K69-K65)^2),2)</f>
        <v/>
      </c>
      <c r="M69" t="inlineStr">
        <is>
          <t>measured</t>
        </is>
      </c>
    </row>
    <row r="70">
      <c r="A70" t="inlineStr">
        <is>
          <t>23C_40RH_room</t>
        </is>
      </c>
      <c r="B70" t="inlineStr">
        <is>
          <t>23 C / 40%RH (room-temp arm)</t>
        </is>
      </c>
      <c r="C70" t="inlineStr">
        <is>
          <t>measured</t>
        </is>
      </c>
      <c r="D70" t="inlineStr">
        <is>
          <t>Vermilion</t>
        </is>
      </c>
      <c r="E70" t="inlineStr">
        <is>
          <t>block</t>
        </is>
      </c>
      <c r="F70" t="inlineStr">
        <is>
          <t>NTR.1</t>
        </is>
      </c>
      <c r="G70" t="inlineStr">
        <is>
          <t>5.02</t>
        </is>
      </c>
      <c r="H70" t="n">
        <v>15</v>
      </c>
      <c r="I70" t="n">
        <v>45.79</v>
      </c>
      <c r="J70" t="n">
        <v>35.22</v>
      </c>
      <c r="K70" t="n">
        <v>17.95</v>
      </c>
      <c r="L70">
        <f>ROUND(SQRT((I70-I65)^2+(J70-J65)^2+(K70-K65)^2),2)</f>
        <v/>
      </c>
      <c r="M70" t="inlineStr">
        <is>
          <t>measured</t>
        </is>
      </c>
    </row>
    <row r="71">
      <c r="A71" t="inlineStr">
        <is>
          <t>23C_40RH_room</t>
        </is>
      </c>
      <c r="B71" t="inlineStr">
        <is>
          <t>23 C / 40%RH (room-temp arm)</t>
        </is>
      </c>
      <c r="C71" t="inlineStr">
        <is>
          <t>measured</t>
        </is>
      </c>
      <c r="D71" t="inlineStr">
        <is>
          <t>Vermilion</t>
        </is>
      </c>
      <c r="E71" t="inlineStr">
        <is>
          <t>block</t>
        </is>
      </c>
      <c r="F71" t="inlineStr">
        <is>
          <t>NTR.1</t>
        </is>
      </c>
      <c r="G71" t="inlineStr">
        <is>
          <t>5.05</t>
        </is>
      </c>
      <c r="H71" t="n">
        <v>18</v>
      </c>
      <c r="I71" t="n">
        <v>45.02</v>
      </c>
      <c r="J71" t="n">
        <v>35.45</v>
      </c>
      <c r="K71" t="n">
        <v>17.62</v>
      </c>
      <c r="L71">
        <f>ROUND(SQRT((I71-I65)^2+(J71-J65)^2+(K71-K65)^2),2)</f>
        <v/>
      </c>
      <c r="M71" t="inlineStr">
        <is>
          <t>measured</t>
        </is>
      </c>
    </row>
    <row r="72">
      <c r="A72" t="inlineStr">
        <is>
          <t>23C_40RH_room</t>
        </is>
      </c>
      <c r="B72" t="inlineStr">
        <is>
          <t>23 C / 40%RH (room-temp arm)</t>
        </is>
      </c>
      <c r="C72" t="inlineStr">
        <is>
          <t>measured</t>
        </is>
      </c>
      <c r="D72" t="inlineStr">
        <is>
          <t>Vermilion</t>
        </is>
      </c>
      <c r="E72" t="inlineStr">
        <is>
          <t>block</t>
        </is>
      </c>
      <c r="F72" t="inlineStr">
        <is>
          <t>NTR.1</t>
        </is>
      </c>
      <c r="G72" t="inlineStr">
        <is>
          <t>5.08</t>
        </is>
      </c>
      <c r="H72" t="n">
        <v>21</v>
      </c>
      <c r="I72" t="n">
        <v>45.83</v>
      </c>
      <c r="J72" t="n">
        <v>36.02</v>
      </c>
      <c r="K72" t="n">
        <v>19.01</v>
      </c>
      <c r="L72">
        <f>ROUND(SQRT((I72-I65)^2+(J72-J65)^2+(K72-K65)^2),2)</f>
        <v/>
      </c>
      <c r="M72" t="inlineStr">
        <is>
          <t>measured</t>
        </is>
      </c>
    </row>
    <row r="73">
      <c r="A73" t="inlineStr">
        <is>
          <t>23C_40RH_room</t>
        </is>
      </c>
      <c r="B73" t="inlineStr">
        <is>
          <t>23 C / 40%RH (room-temp arm)</t>
        </is>
      </c>
      <c r="C73" t="inlineStr">
        <is>
          <t>measured</t>
        </is>
      </c>
      <c r="D73" t="inlineStr">
        <is>
          <t>Vermilion</t>
        </is>
      </c>
      <c r="E73" t="inlineStr">
        <is>
          <t>block</t>
        </is>
      </c>
      <c r="F73" t="inlineStr">
        <is>
          <t>NTR.1</t>
        </is>
      </c>
      <c r="G73" t="inlineStr">
        <is>
          <t>5.11</t>
        </is>
      </c>
      <c r="H73" t="n">
        <v>24</v>
      </c>
      <c r="I73" t="n">
        <v>44.72</v>
      </c>
      <c r="J73" t="n">
        <v>35.92</v>
      </c>
      <c r="K73" t="n">
        <v>18.68</v>
      </c>
      <c r="L73">
        <f>ROUND(SQRT((I73-I65)^2+(J73-J65)^2+(K73-K65)^2),2)</f>
        <v/>
      </c>
      <c r="M73" t="inlineStr">
        <is>
          <t>measured</t>
        </is>
      </c>
    </row>
    <row r="74">
      <c r="A74" t="inlineStr">
        <is>
          <t>23C_40RH_room</t>
        </is>
      </c>
      <c r="B74" t="inlineStr">
        <is>
          <t>23 C / 40%RH (room-temp arm)</t>
        </is>
      </c>
      <c r="C74" t="inlineStr">
        <is>
          <t>measured</t>
        </is>
      </c>
      <c r="D74" t="inlineStr">
        <is>
          <t>Vermilion</t>
        </is>
      </c>
      <c r="E74" t="inlineStr">
        <is>
          <t>block</t>
        </is>
      </c>
      <c r="F74" t="inlineStr">
        <is>
          <t>NTR.1</t>
        </is>
      </c>
      <c r="G74" t="inlineStr">
        <is>
          <t>5.12</t>
        </is>
      </c>
      <c r="H74" t="n">
        <v>25</v>
      </c>
      <c r="I74" t="n">
        <v>46.68</v>
      </c>
      <c r="J74" t="n">
        <v>36.84</v>
      </c>
      <c r="K74" t="n">
        <v>18.08</v>
      </c>
      <c r="L74">
        <f>ROUND(SQRT((I74-I65)^2+(J74-J65)^2+(K74-K65)^2),2)</f>
        <v/>
      </c>
      <c r="M74" t="inlineStr">
        <is>
          <t>measured</t>
        </is>
      </c>
    </row>
    <row r="75">
      <c r="A75" t="inlineStr">
        <is>
          <t>23C_40RH_room</t>
        </is>
      </c>
      <c r="B75" t="inlineStr">
        <is>
          <t>23 C / 40%RH (room-temp arm)</t>
        </is>
      </c>
      <c r="C75" t="inlineStr">
        <is>
          <t>measured</t>
        </is>
      </c>
      <c r="D75" t="inlineStr">
        <is>
          <t>Vermilion</t>
        </is>
      </c>
      <c r="E75" t="inlineStr">
        <is>
          <t>block</t>
        </is>
      </c>
      <c r="F75" t="inlineStr">
        <is>
          <t>NTR.1</t>
        </is>
      </c>
      <c r="G75" t="inlineStr">
        <is>
          <t>5.14</t>
        </is>
      </c>
      <c r="H75" t="n">
        <v>27</v>
      </c>
      <c r="I75" t="n">
        <v>46.65</v>
      </c>
      <c r="J75" t="n">
        <v>36.42</v>
      </c>
      <c r="K75" t="n">
        <v>19.52</v>
      </c>
      <c r="L75">
        <f>ROUND(SQRT((I75-I65)^2+(J75-J65)^2+(K75-K65)^2),2)</f>
        <v/>
      </c>
      <c r="M75" t="inlineStr">
        <is>
          <t>measured</t>
        </is>
      </c>
    </row>
    <row r="76">
      <c r="A76" t="inlineStr">
        <is>
          <t>23C_40RH_room</t>
        </is>
      </c>
      <c r="B76" t="inlineStr">
        <is>
          <t>23 C / 40%RH (room-temp arm)</t>
        </is>
      </c>
      <c r="C76" t="inlineStr">
        <is>
          <t>measured</t>
        </is>
      </c>
      <c r="D76" t="inlineStr">
        <is>
          <t>Vermilion</t>
        </is>
      </c>
      <c r="E76" t="inlineStr">
        <is>
          <t>block</t>
        </is>
      </c>
      <c r="F76" t="inlineStr">
        <is>
          <t>NTR.1</t>
        </is>
      </c>
      <c r="G76" t="inlineStr">
        <is>
          <t>5.18</t>
        </is>
      </c>
      <c r="H76" t="n">
        <v>31</v>
      </c>
      <c r="I76" t="n">
        <v>45.66</v>
      </c>
      <c r="J76" t="n">
        <v>34.96</v>
      </c>
      <c r="K76" t="n">
        <v>18.19</v>
      </c>
      <c r="L76">
        <f>ROUND(SQRT((I76-I65)^2+(J76-J65)^2+(K76-K65)^2),2)</f>
        <v/>
      </c>
      <c r="M76" t="inlineStr">
        <is>
          <t>measured</t>
        </is>
      </c>
    </row>
    <row r="77">
      <c r="A77" t="inlineStr">
        <is>
          <t>23C_40RH_room</t>
        </is>
      </c>
      <c r="B77" t="inlineStr">
        <is>
          <t>23 C / 40%RH (room-temp arm)</t>
        </is>
      </c>
      <c r="C77" t="inlineStr">
        <is>
          <t>measured</t>
        </is>
      </c>
      <c r="D77" t="inlineStr">
        <is>
          <t>Vermilion</t>
        </is>
      </c>
      <c r="E77" t="inlineStr">
        <is>
          <t>block</t>
        </is>
      </c>
      <c r="F77" t="inlineStr">
        <is>
          <t>NTR.1</t>
        </is>
      </c>
      <c r="G77" t="inlineStr">
        <is>
          <t>5.21</t>
        </is>
      </c>
      <c r="H77" t="n">
        <v>34</v>
      </c>
      <c r="I77" t="n">
        <v>46.13</v>
      </c>
      <c r="J77" t="n">
        <v>36.53</v>
      </c>
      <c r="K77" t="n">
        <v>18.52</v>
      </c>
      <c r="L77">
        <f>ROUND(SQRT((I77-I65)^2+(J77-J65)^2+(K77-K65)^2),2)</f>
        <v/>
      </c>
      <c r="M77" t="inlineStr">
        <is>
          <t>measured</t>
        </is>
      </c>
    </row>
    <row r="78">
      <c r="A78" t="inlineStr">
        <is>
          <t>23C_40RH_room</t>
        </is>
      </c>
      <c r="B78" t="inlineStr">
        <is>
          <t>23 C / 40%RH (room-temp arm)</t>
        </is>
      </c>
      <c r="C78" t="inlineStr">
        <is>
          <t>measured</t>
        </is>
      </c>
      <c r="D78" t="inlineStr">
        <is>
          <t>Vermilion</t>
        </is>
      </c>
      <c r="E78" t="inlineStr">
        <is>
          <t>block</t>
        </is>
      </c>
      <c r="F78" t="inlineStr">
        <is>
          <t>NTR.1</t>
        </is>
      </c>
      <c r="G78" t="inlineStr">
        <is>
          <t>5.24</t>
        </is>
      </c>
      <c r="H78" t="n">
        <v>37</v>
      </c>
      <c r="I78" t="n">
        <v>44.23</v>
      </c>
      <c r="J78" t="n">
        <v>35.74</v>
      </c>
      <c r="K78" t="n">
        <v>18.68</v>
      </c>
      <c r="L78">
        <f>ROUND(SQRT((I78-I65)^2+(J78-J65)^2+(K78-K65)^2),2)</f>
        <v/>
      </c>
      <c r="M78" t="inlineStr">
        <is>
          <t>measured</t>
        </is>
      </c>
    </row>
    <row r="79">
      <c r="A79" t="inlineStr">
        <is>
          <t>23C_40RH_room</t>
        </is>
      </c>
      <c r="B79" t="inlineStr">
        <is>
          <t>23 C / 40%RH (room-temp arm)</t>
        </is>
      </c>
      <c r="C79" t="inlineStr">
        <is>
          <t>measured</t>
        </is>
      </c>
      <c r="D79" t="inlineStr">
        <is>
          <t>Vermilion</t>
        </is>
      </c>
      <c r="E79" t="inlineStr">
        <is>
          <t>block</t>
        </is>
      </c>
      <c r="F79" t="inlineStr">
        <is>
          <t>NTR.1</t>
        </is>
      </c>
      <c r="G79" t="inlineStr">
        <is>
          <t>5.28</t>
        </is>
      </c>
      <c r="H79" t="n">
        <v>41</v>
      </c>
      <c r="I79" t="n">
        <v>45.16</v>
      </c>
      <c r="J79" t="n">
        <v>36.99</v>
      </c>
      <c r="K79" t="n">
        <v>18.06</v>
      </c>
      <c r="L79">
        <f>ROUND(SQRT((I79-I65)^2+(J79-J65)^2+(K79-K65)^2),2)</f>
        <v/>
      </c>
      <c r="M79" t="inlineStr">
        <is>
          <t>measured</t>
        </is>
      </c>
    </row>
    <row r="80">
      <c r="A80" t="inlineStr">
        <is>
          <t>23C_40RH_room</t>
        </is>
      </c>
      <c r="B80" t="inlineStr">
        <is>
          <t>23 C / 40%RH (room-temp arm)</t>
        </is>
      </c>
      <c r="C80" t="inlineStr">
        <is>
          <t>measured</t>
        </is>
      </c>
      <c r="D80" t="inlineStr">
        <is>
          <t>Vermilion</t>
        </is>
      </c>
      <c r="E80" t="inlineStr">
        <is>
          <t>block</t>
        </is>
      </c>
      <c r="F80" t="inlineStr">
        <is>
          <t>NTR.1</t>
        </is>
      </c>
      <c r="G80" t="inlineStr">
        <is>
          <t>5.31</t>
        </is>
      </c>
      <c r="H80" t="n">
        <v>44</v>
      </c>
      <c r="I80" t="n">
        <v>45.81</v>
      </c>
      <c r="J80" t="n">
        <v>35.63</v>
      </c>
      <c r="K80" t="n">
        <v>18.82</v>
      </c>
      <c r="L80">
        <f>ROUND(SQRT((I80-I65)^2+(J80-J65)^2+(K80-K65)^2),2)</f>
        <v/>
      </c>
      <c r="M80" t="inlineStr">
        <is>
          <t>measured</t>
        </is>
      </c>
    </row>
    <row r="81">
      <c r="A81" t="inlineStr">
        <is>
          <t>23C_40RH_room</t>
        </is>
      </c>
      <c r="B81" t="inlineStr">
        <is>
          <t>23 C / 40%RH (room-temp arm)</t>
        </is>
      </c>
      <c r="C81" t="inlineStr">
        <is>
          <t>measured</t>
        </is>
      </c>
      <c r="D81" t="inlineStr">
        <is>
          <t>Vermilion</t>
        </is>
      </c>
      <c r="E81" t="inlineStr">
        <is>
          <t>block</t>
        </is>
      </c>
      <c r="F81" t="inlineStr">
        <is>
          <t>NTR.1</t>
        </is>
      </c>
      <c r="G81" t="inlineStr">
        <is>
          <t>6.03</t>
        </is>
      </c>
      <c r="H81" t="n">
        <v>47</v>
      </c>
      <c r="I81" t="n">
        <v>45.3</v>
      </c>
      <c r="J81" t="n">
        <v>35.59</v>
      </c>
      <c r="K81" t="n">
        <v>18.11</v>
      </c>
      <c r="L81">
        <f>ROUND(SQRT((I81-I65)^2+(J81-J65)^2+(K81-K65)^2),2)</f>
        <v/>
      </c>
      <c r="M81" t="inlineStr">
        <is>
          <t>measured</t>
        </is>
      </c>
    </row>
    <row r="82">
      <c r="A82" t="inlineStr">
        <is>
          <t>23C_40RH_room</t>
        </is>
      </c>
      <c r="B82" t="inlineStr">
        <is>
          <t>23 C / 40%RH (room-temp arm)</t>
        </is>
      </c>
      <c r="C82" t="inlineStr">
        <is>
          <t>measured</t>
        </is>
      </c>
      <c r="D82" t="inlineStr">
        <is>
          <t>Vermilion</t>
        </is>
      </c>
      <c r="E82" t="inlineStr">
        <is>
          <t>block</t>
        </is>
      </c>
      <c r="F82" t="inlineStr">
        <is>
          <t>NTR.1</t>
        </is>
      </c>
      <c r="G82" t="inlineStr">
        <is>
          <t>6.06</t>
        </is>
      </c>
      <c r="H82" t="n">
        <v>50</v>
      </c>
      <c r="I82" t="n">
        <v>46.6</v>
      </c>
      <c r="J82" t="n">
        <v>36.38</v>
      </c>
      <c r="K82" t="n">
        <v>18.2</v>
      </c>
      <c r="L82">
        <f>ROUND(SQRT((I82-I65)^2+(J82-J65)^2+(K82-K65)^2),2)</f>
        <v/>
      </c>
      <c r="M82" t="inlineStr">
        <is>
          <t>measured</t>
        </is>
      </c>
    </row>
    <row r="83">
      <c r="A83" t="inlineStr">
        <is>
          <t>23C_40RH_room</t>
        </is>
      </c>
      <c r="B83" t="inlineStr">
        <is>
          <t>23 C / 40%RH (room-temp arm)</t>
        </is>
      </c>
      <c r="C83" t="inlineStr">
        <is>
          <t>measured</t>
        </is>
      </c>
      <c r="D83" t="inlineStr">
        <is>
          <t>Vermilion</t>
        </is>
      </c>
      <c r="E83" t="inlineStr">
        <is>
          <t>block</t>
        </is>
      </c>
      <c r="F83" t="inlineStr">
        <is>
          <t>NTR.1</t>
        </is>
      </c>
      <c r="G83" t="inlineStr">
        <is>
          <t>6.09</t>
        </is>
      </c>
      <c r="H83" t="n">
        <v>53</v>
      </c>
      <c r="I83" t="n">
        <v>47.54</v>
      </c>
      <c r="J83" t="n">
        <v>36.5</v>
      </c>
      <c r="K83" t="n">
        <v>19.43</v>
      </c>
      <c r="L83">
        <f>ROUND(SQRT((I83-I65)^2+(J83-J65)^2+(K83-K65)^2),2)</f>
        <v/>
      </c>
      <c r="M83" t="inlineStr">
        <is>
          <t>measured</t>
        </is>
      </c>
    </row>
    <row r="84">
      <c r="A84" t="inlineStr">
        <is>
          <t>23C_40RH_room</t>
        </is>
      </c>
      <c r="B84" t="inlineStr">
        <is>
          <t>23 C / 40%RH (room-temp arm)</t>
        </is>
      </c>
      <c r="C84" t="inlineStr">
        <is>
          <t>measured</t>
        </is>
      </c>
      <c r="D84" t="inlineStr">
        <is>
          <t>Vermilion</t>
        </is>
      </c>
      <c r="E84" t="inlineStr">
        <is>
          <t>block</t>
        </is>
      </c>
      <c r="F84" t="inlineStr">
        <is>
          <t>NTR.1</t>
        </is>
      </c>
      <c r="G84" t="inlineStr">
        <is>
          <t>6.13</t>
        </is>
      </c>
      <c r="H84" t="n">
        <v>57</v>
      </c>
      <c r="I84" t="n">
        <v>45.37</v>
      </c>
      <c r="J84" t="n">
        <v>36.24</v>
      </c>
      <c r="K84" t="n">
        <v>17.75</v>
      </c>
      <c r="L84">
        <f>ROUND(SQRT((I84-I65)^2+(J84-J65)^2+(K84-K65)^2),2)</f>
        <v/>
      </c>
      <c r="M84" t="inlineStr">
        <is>
          <t>measured</t>
        </is>
      </c>
    </row>
    <row r="85">
      <c r="A85" t="inlineStr">
        <is>
          <t>23C_40RH_room</t>
        </is>
      </c>
      <c r="B85" t="inlineStr">
        <is>
          <t>23 C / 40%RH (room-temp arm)</t>
        </is>
      </c>
      <c r="C85" t="inlineStr">
        <is>
          <t>measured</t>
        </is>
      </c>
      <c r="D85" t="inlineStr">
        <is>
          <t>Vermilion</t>
        </is>
      </c>
      <c r="E85" t="inlineStr">
        <is>
          <t>block</t>
        </is>
      </c>
      <c r="F85" t="inlineStr">
        <is>
          <t>NTR.1</t>
        </is>
      </c>
      <c r="G85" t="inlineStr">
        <is>
          <t>6.17</t>
        </is>
      </c>
      <c r="H85" t="n">
        <v>61</v>
      </c>
      <c r="I85" t="n">
        <v>45.66</v>
      </c>
      <c r="J85" t="n">
        <v>34.71</v>
      </c>
      <c r="K85" t="n">
        <v>16.78</v>
      </c>
      <c r="L85">
        <f>ROUND(SQRT((I85-I65)^2+(J85-J65)^2+(K85-K65)^2),2)</f>
        <v/>
      </c>
      <c r="M85" t="inlineStr">
        <is>
          <t>measured</t>
        </is>
      </c>
    </row>
    <row r="86">
      <c r="A86" t="inlineStr">
        <is>
          <t>23C_40RH_room</t>
        </is>
      </c>
      <c r="B86" t="inlineStr">
        <is>
          <t>23 C / 40%RH (room-temp arm)</t>
        </is>
      </c>
      <c r="C86" t="inlineStr">
        <is>
          <t>measured</t>
        </is>
      </c>
      <c r="D86" t="inlineStr">
        <is>
          <t>Vermilion</t>
        </is>
      </c>
      <c r="E86" t="inlineStr">
        <is>
          <t>block</t>
        </is>
      </c>
      <c r="F86" t="inlineStr">
        <is>
          <t>NTR.2</t>
        </is>
      </c>
      <c r="G86" t="inlineStr">
        <is>
          <t>4.17</t>
        </is>
      </c>
      <c r="H86" t="n">
        <v>0</v>
      </c>
      <c r="I86" t="n">
        <v>46.72</v>
      </c>
      <c r="J86" t="n">
        <v>37.64</v>
      </c>
      <c r="K86" t="n">
        <v>21.16</v>
      </c>
      <c r="L86" t="n">
        <v>0</v>
      </c>
      <c r="M86" t="inlineStr">
        <is>
          <t>measured</t>
        </is>
      </c>
    </row>
    <row r="87">
      <c r="A87" t="inlineStr">
        <is>
          <t>23C_40RH_room</t>
        </is>
      </c>
      <c r="B87" t="inlineStr">
        <is>
          <t>23 C / 40%RH (room-temp arm)</t>
        </is>
      </c>
      <c r="C87" t="inlineStr">
        <is>
          <t>measured</t>
        </is>
      </c>
      <c r="D87" t="inlineStr">
        <is>
          <t>Vermilion</t>
        </is>
      </c>
      <c r="E87" t="inlineStr">
        <is>
          <t>block</t>
        </is>
      </c>
      <c r="F87" t="inlineStr">
        <is>
          <t>NTR.2</t>
        </is>
      </c>
      <c r="G87" t="inlineStr">
        <is>
          <t>4.20</t>
        </is>
      </c>
      <c r="H87" t="n">
        <v>3</v>
      </c>
      <c r="I87" t="n">
        <v>48.55</v>
      </c>
      <c r="J87" t="n">
        <v>38.77</v>
      </c>
      <c r="K87" t="n">
        <v>20.23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23C_40RH_room</t>
        </is>
      </c>
      <c r="B88" t="inlineStr">
        <is>
          <t>23 C / 40%RH (room-temp arm)</t>
        </is>
      </c>
      <c r="C88" t="inlineStr">
        <is>
          <t>measured</t>
        </is>
      </c>
      <c r="D88" t="inlineStr">
        <is>
          <t>Vermilion</t>
        </is>
      </c>
      <c r="E88" t="inlineStr">
        <is>
          <t>block</t>
        </is>
      </c>
      <c r="F88" t="inlineStr">
        <is>
          <t>NTR.2</t>
        </is>
      </c>
      <c r="G88" t="inlineStr">
        <is>
          <t>4.23</t>
        </is>
      </c>
      <c r="H88" t="n">
        <v>6</v>
      </c>
      <c r="I88" t="n">
        <v>46.52</v>
      </c>
      <c r="J88" t="n">
        <v>36.8</v>
      </c>
      <c r="K88" t="n">
        <v>21.73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23C_40RH_room</t>
        </is>
      </c>
      <c r="B89" t="inlineStr">
        <is>
          <t>23 C / 40%RH (room-temp arm)</t>
        </is>
      </c>
      <c r="C89" t="inlineStr">
        <is>
          <t>measured</t>
        </is>
      </c>
      <c r="D89" t="inlineStr">
        <is>
          <t>Vermilion</t>
        </is>
      </c>
      <c r="E89" t="inlineStr">
        <is>
          <t>block</t>
        </is>
      </c>
      <c r="F89" t="inlineStr">
        <is>
          <t>NTR.2</t>
        </is>
      </c>
      <c r="G89" t="inlineStr">
        <is>
          <t>4.26</t>
        </is>
      </c>
      <c r="H89" t="n">
        <v>9</v>
      </c>
      <c r="I89" t="n">
        <v>45.49</v>
      </c>
      <c r="J89" t="n">
        <v>37.95</v>
      </c>
      <c r="K89" t="n">
        <v>21.38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23C_40RH_room</t>
        </is>
      </c>
      <c r="B90" t="inlineStr">
        <is>
          <t>23 C / 40%RH (room-temp arm)</t>
        </is>
      </c>
      <c r="C90" t="inlineStr">
        <is>
          <t>measured</t>
        </is>
      </c>
      <c r="D90" t="inlineStr">
        <is>
          <t>Vermilion</t>
        </is>
      </c>
      <c r="E90" t="inlineStr">
        <is>
          <t>block</t>
        </is>
      </c>
      <c r="F90" t="inlineStr">
        <is>
          <t>NTR.2</t>
        </is>
      </c>
      <c r="G90" t="inlineStr">
        <is>
          <t>4.29</t>
        </is>
      </c>
      <c r="H90" t="n">
        <v>12</v>
      </c>
      <c r="I90" t="n">
        <v>46.67</v>
      </c>
      <c r="J90" t="n">
        <v>37.73</v>
      </c>
      <c r="K90" t="n">
        <v>22.8</v>
      </c>
      <c r="L90">
        <f>ROUND(SQRT((I90-I86)^2+(J90-J86)^2+(K90-K86)^2),2)</f>
        <v/>
      </c>
      <c r="M90" t="inlineStr">
        <is>
          <t>measured</t>
        </is>
      </c>
    </row>
    <row r="91">
      <c r="A91" t="inlineStr">
        <is>
          <t>23C_40RH_room</t>
        </is>
      </c>
      <c r="B91" t="inlineStr">
        <is>
          <t>23 C / 40%RH (room-temp arm)</t>
        </is>
      </c>
      <c r="C91" t="inlineStr">
        <is>
          <t>measured</t>
        </is>
      </c>
      <c r="D91" t="inlineStr">
        <is>
          <t>Vermilion</t>
        </is>
      </c>
      <c r="E91" t="inlineStr">
        <is>
          <t>block</t>
        </is>
      </c>
      <c r="F91" t="inlineStr">
        <is>
          <t>NTR.2</t>
        </is>
      </c>
      <c r="G91" t="inlineStr">
        <is>
          <t>5.02</t>
        </is>
      </c>
      <c r="H91" t="n">
        <v>15</v>
      </c>
      <c r="I91" t="n">
        <v>46.73</v>
      </c>
      <c r="J91" t="n">
        <v>36.87</v>
      </c>
      <c r="K91" t="n">
        <v>21.42</v>
      </c>
      <c r="L91">
        <f>ROUND(SQRT((I91-I86)^2+(J91-J86)^2+(K91-K86)^2),2)</f>
        <v/>
      </c>
      <c r="M91" t="inlineStr">
        <is>
          <t>measured</t>
        </is>
      </c>
    </row>
    <row r="92">
      <c r="A92" t="inlineStr">
        <is>
          <t>23C_40RH_room</t>
        </is>
      </c>
      <c r="B92" t="inlineStr">
        <is>
          <t>23 C / 40%RH (room-temp arm)</t>
        </is>
      </c>
      <c r="C92" t="inlineStr">
        <is>
          <t>measured</t>
        </is>
      </c>
      <c r="D92" t="inlineStr">
        <is>
          <t>Vermilion</t>
        </is>
      </c>
      <c r="E92" t="inlineStr">
        <is>
          <t>block</t>
        </is>
      </c>
      <c r="F92" t="inlineStr">
        <is>
          <t>NTR.2</t>
        </is>
      </c>
      <c r="G92" t="inlineStr">
        <is>
          <t>5.05</t>
        </is>
      </c>
      <c r="H92" t="n">
        <v>18</v>
      </c>
      <c r="I92" t="n">
        <v>46.83</v>
      </c>
      <c r="J92" t="n">
        <v>37.57</v>
      </c>
      <c r="K92" t="n">
        <v>21.39</v>
      </c>
      <c r="L92">
        <f>ROUND(SQRT((I92-I86)^2+(J92-J86)^2+(K92-K86)^2),2)</f>
        <v/>
      </c>
      <c r="M92" t="inlineStr">
        <is>
          <t>measured</t>
        </is>
      </c>
    </row>
    <row r="93">
      <c r="A93" t="inlineStr">
        <is>
          <t>23C_40RH_room</t>
        </is>
      </c>
      <c r="B93" t="inlineStr">
        <is>
          <t>23 C / 40%RH (room-temp arm)</t>
        </is>
      </c>
      <c r="C93" t="inlineStr">
        <is>
          <t>measured</t>
        </is>
      </c>
      <c r="D93" t="inlineStr">
        <is>
          <t>Vermilion</t>
        </is>
      </c>
      <c r="E93" t="inlineStr">
        <is>
          <t>block</t>
        </is>
      </c>
      <c r="F93" t="inlineStr">
        <is>
          <t>NTR.2</t>
        </is>
      </c>
      <c r="G93" t="inlineStr">
        <is>
          <t>5.08</t>
        </is>
      </c>
      <c r="H93" t="n">
        <v>21</v>
      </c>
      <c r="I93" t="n">
        <v>46.23</v>
      </c>
      <c r="J93" t="n">
        <v>38.26</v>
      </c>
      <c r="K93" t="n">
        <v>20.99</v>
      </c>
      <c r="L93">
        <f>ROUND(SQRT((I93-I86)^2+(J93-J86)^2+(K93-K86)^2),2)</f>
        <v/>
      </c>
      <c r="M93" t="inlineStr">
        <is>
          <t>measured</t>
        </is>
      </c>
    </row>
    <row r="94">
      <c r="A94" t="inlineStr">
        <is>
          <t>23C_40RH_room</t>
        </is>
      </c>
      <c r="B94" t="inlineStr">
        <is>
          <t>23 C / 40%RH (room-temp arm)</t>
        </is>
      </c>
      <c r="C94" t="inlineStr">
        <is>
          <t>measured</t>
        </is>
      </c>
      <c r="D94" t="inlineStr">
        <is>
          <t>Vermilion</t>
        </is>
      </c>
      <c r="E94" t="inlineStr">
        <is>
          <t>block</t>
        </is>
      </c>
      <c r="F94" t="inlineStr">
        <is>
          <t>NTR.2</t>
        </is>
      </c>
      <c r="G94" t="inlineStr">
        <is>
          <t>5.11</t>
        </is>
      </c>
      <c r="H94" t="n">
        <v>24</v>
      </c>
      <c r="I94" t="n">
        <v>47.45</v>
      </c>
      <c r="J94" t="n">
        <v>37.15</v>
      </c>
      <c r="K94" t="n">
        <v>21.67</v>
      </c>
      <c r="L94">
        <f>ROUND(SQRT((I94-I86)^2+(J94-J86)^2+(K94-K86)^2),2)</f>
        <v/>
      </c>
      <c r="M94" t="inlineStr">
        <is>
          <t>measured</t>
        </is>
      </c>
    </row>
    <row r="95">
      <c r="A95" t="inlineStr">
        <is>
          <t>23C_40RH_room</t>
        </is>
      </c>
      <c r="B95" t="inlineStr">
        <is>
          <t>23 C / 40%RH (room-temp arm)</t>
        </is>
      </c>
      <c r="C95" t="inlineStr">
        <is>
          <t>measured</t>
        </is>
      </c>
      <c r="D95" t="inlineStr">
        <is>
          <t>Vermilion</t>
        </is>
      </c>
      <c r="E95" t="inlineStr">
        <is>
          <t>block</t>
        </is>
      </c>
      <c r="F95" t="inlineStr">
        <is>
          <t>NTR.2</t>
        </is>
      </c>
      <c r="G95" t="inlineStr">
        <is>
          <t>5.12</t>
        </is>
      </c>
      <c r="H95" t="n">
        <v>25</v>
      </c>
      <c r="I95" t="n">
        <v>47.43</v>
      </c>
      <c r="J95" t="n">
        <v>36.18</v>
      </c>
      <c r="K95" t="n">
        <v>21.54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23C_40RH_room</t>
        </is>
      </c>
      <c r="B96" t="inlineStr">
        <is>
          <t>23 C / 40%RH (room-temp arm)</t>
        </is>
      </c>
      <c r="C96" t="inlineStr">
        <is>
          <t>measured</t>
        </is>
      </c>
      <c r="D96" t="inlineStr">
        <is>
          <t>Vermilion</t>
        </is>
      </c>
      <c r="E96" t="inlineStr">
        <is>
          <t>block</t>
        </is>
      </c>
      <c r="F96" t="inlineStr">
        <is>
          <t>NTR.2</t>
        </is>
      </c>
      <c r="G96" t="inlineStr">
        <is>
          <t>5.14</t>
        </is>
      </c>
      <c r="H96" t="n">
        <v>27</v>
      </c>
      <c r="I96" t="n">
        <v>46.04</v>
      </c>
      <c r="J96" t="n">
        <v>37.33</v>
      </c>
      <c r="K96" t="n">
        <v>21.97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23C_40RH_room</t>
        </is>
      </c>
      <c r="B97" t="inlineStr">
        <is>
          <t>23 C / 40%RH (room-temp arm)</t>
        </is>
      </c>
      <c r="C97" t="inlineStr">
        <is>
          <t>measured</t>
        </is>
      </c>
      <c r="D97" t="inlineStr">
        <is>
          <t>Vermilion</t>
        </is>
      </c>
      <c r="E97" t="inlineStr">
        <is>
          <t>block</t>
        </is>
      </c>
      <c r="F97" t="inlineStr">
        <is>
          <t>NTR.2</t>
        </is>
      </c>
      <c r="G97" t="inlineStr">
        <is>
          <t>5.18</t>
        </is>
      </c>
      <c r="H97" t="n">
        <v>31</v>
      </c>
      <c r="I97" t="n">
        <v>47.63</v>
      </c>
      <c r="J97" t="n">
        <v>36.67</v>
      </c>
      <c r="K97" t="n">
        <v>20.72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23C_40RH_room</t>
        </is>
      </c>
      <c r="B98" t="inlineStr">
        <is>
          <t>23 C / 40%RH (room-temp arm)</t>
        </is>
      </c>
      <c r="C98" t="inlineStr">
        <is>
          <t>measured</t>
        </is>
      </c>
      <c r="D98" t="inlineStr">
        <is>
          <t>Vermilion</t>
        </is>
      </c>
      <c r="E98" t="inlineStr">
        <is>
          <t>block</t>
        </is>
      </c>
      <c r="F98" t="inlineStr">
        <is>
          <t>NTR.2</t>
        </is>
      </c>
      <c r="G98" t="inlineStr">
        <is>
          <t>5.21</t>
        </is>
      </c>
      <c r="H98" t="n">
        <v>34</v>
      </c>
      <c r="I98" t="n">
        <v>48.62</v>
      </c>
      <c r="J98" t="n">
        <v>37.03</v>
      </c>
      <c r="K98" t="n">
        <v>20.77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23C_40RH_room</t>
        </is>
      </c>
      <c r="B99" t="inlineStr">
        <is>
          <t>23 C / 40%RH (room-temp arm)</t>
        </is>
      </c>
      <c r="C99" t="inlineStr">
        <is>
          <t>measured</t>
        </is>
      </c>
      <c r="D99" t="inlineStr">
        <is>
          <t>Vermilion</t>
        </is>
      </c>
      <c r="E99" t="inlineStr">
        <is>
          <t>block</t>
        </is>
      </c>
      <c r="F99" t="inlineStr">
        <is>
          <t>NTR.2</t>
        </is>
      </c>
      <c r="G99" t="inlineStr">
        <is>
          <t>5.24</t>
        </is>
      </c>
      <c r="H99" t="n">
        <v>37</v>
      </c>
      <c r="I99" t="n">
        <v>47.35</v>
      </c>
      <c r="J99" t="n">
        <v>37.18</v>
      </c>
      <c r="K99" t="n">
        <v>20.74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23C_40RH_room</t>
        </is>
      </c>
      <c r="B100" t="inlineStr">
        <is>
          <t>23 C / 40%RH (room-temp arm)</t>
        </is>
      </c>
      <c r="C100" t="inlineStr">
        <is>
          <t>measured</t>
        </is>
      </c>
      <c r="D100" t="inlineStr">
        <is>
          <t>Vermilion</t>
        </is>
      </c>
      <c r="E100" t="inlineStr">
        <is>
          <t>block</t>
        </is>
      </c>
      <c r="F100" t="inlineStr">
        <is>
          <t>NTR.2</t>
        </is>
      </c>
      <c r="G100" t="inlineStr">
        <is>
          <t>5.28</t>
        </is>
      </c>
      <c r="H100" t="n">
        <v>41</v>
      </c>
      <c r="I100" t="n">
        <v>47.04</v>
      </c>
      <c r="J100" t="n">
        <v>36</v>
      </c>
      <c r="K100" t="n">
        <v>21.62</v>
      </c>
      <c r="L100">
        <f>ROUND(SQRT((I100-I86)^2+(J100-J86)^2+(K100-K86)^2),2)</f>
        <v/>
      </c>
      <c r="M100" t="inlineStr">
        <is>
          <t>measured</t>
        </is>
      </c>
    </row>
    <row r="101">
      <c r="A101" t="inlineStr">
        <is>
          <t>23C_40RH_room</t>
        </is>
      </c>
      <c r="B101" t="inlineStr">
        <is>
          <t>23 C / 40%RH (room-temp arm)</t>
        </is>
      </c>
      <c r="C101" t="inlineStr">
        <is>
          <t>measured</t>
        </is>
      </c>
      <c r="D101" t="inlineStr">
        <is>
          <t>Vermilion</t>
        </is>
      </c>
      <c r="E101" t="inlineStr">
        <is>
          <t>block</t>
        </is>
      </c>
      <c r="F101" t="inlineStr">
        <is>
          <t>NTR.2</t>
        </is>
      </c>
      <c r="G101" t="inlineStr">
        <is>
          <t>5.31</t>
        </is>
      </c>
      <c r="H101" t="n">
        <v>44</v>
      </c>
      <c r="I101" t="n">
        <v>47.22</v>
      </c>
      <c r="J101" t="n">
        <v>36.03</v>
      </c>
      <c r="K101" t="n">
        <v>22.1</v>
      </c>
      <c r="L101">
        <f>ROUND(SQRT((I101-I86)^2+(J101-J86)^2+(K101-K86)^2),2)</f>
        <v/>
      </c>
      <c r="M101" t="inlineStr">
        <is>
          <t>measured</t>
        </is>
      </c>
    </row>
    <row r="102">
      <c r="A102" t="inlineStr">
        <is>
          <t>23C_40RH_room</t>
        </is>
      </c>
      <c r="B102" t="inlineStr">
        <is>
          <t>23 C / 40%RH (room-temp arm)</t>
        </is>
      </c>
      <c r="C102" t="inlineStr">
        <is>
          <t>measured</t>
        </is>
      </c>
      <c r="D102" t="inlineStr">
        <is>
          <t>Vermilion</t>
        </is>
      </c>
      <c r="E102" t="inlineStr">
        <is>
          <t>block</t>
        </is>
      </c>
      <c r="F102" t="inlineStr">
        <is>
          <t>NTR.2</t>
        </is>
      </c>
      <c r="G102" t="inlineStr">
        <is>
          <t>6.03</t>
        </is>
      </c>
      <c r="H102" t="n">
        <v>47</v>
      </c>
      <c r="I102" t="n">
        <v>47.79</v>
      </c>
      <c r="J102" t="n">
        <v>37.47</v>
      </c>
      <c r="K102" t="n">
        <v>20.73</v>
      </c>
      <c r="L102">
        <f>ROUND(SQRT((I102-I86)^2+(J102-J86)^2+(K102-K86)^2),2)</f>
        <v/>
      </c>
      <c r="M102" t="inlineStr">
        <is>
          <t>measured</t>
        </is>
      </c>
    </row>
    <row r="103">
      <c r="A103" t="inlineStr">
        <is>
          <t>23C_40RH_room</t>
        </is>
      </c>
      <c r="B103" t="inlineStr">
        <is>
          <t>23 C / 40%RH (room-temp arm)</t>
        </is>
      </c>
      <c r="C103" t="inlineStr">
        <is>
          <t>measured</t>
        </is>
      </c>
      <c r="D103" t="inlineStr">
        <is>
          <t>Vermilion</t>
        </is>
      </c>
      <c r="E103" t="inlineStr">
        <is>
          <t>block</t>
        </is>
      </c>
      <c r="F103" t="inlineStr">
        <is>
          <t>NTR.2</t>
        </is>
      </c>
      <c r="G103" t="inlineStr">
        <is>
          <t>6.06</t>
        </is>
      </c>
      <c r="H103" t="n">
        <v>50</v>
      </c>
      <c r="I103" t="n">
        <v>46.19</v>
      </c>
      <c r="J103" t="n">
        <v>36.73</v>
      </c>
      <c r="K103" t="n">
        <v>20.74</v>
      </c>
      <c r="L103">
        <f>ROUND(SQRT((I103-I86)^2+(J103-J86)^2+(K103-K86)^2),2)</f>
        <v/>
      </c>
      <c r="M103" t="inlineStr">
        <is>
          <t>measured</t>
        </is>
      </c>
    </row>
    <row r="104">
      <c r="A104" t="inlineStr">
        <is>
          <t>23C_40RH_room</t>
        </is>
      </c>
      <c r="B104" t="inlineStr">
        <is>
          <t>23 C / 40%RH (room-temp arm)</t>
        </is>
      </c>
      <c r="C104" t="inlineStr">
        <is>
          <t>measured</t>
        </is>
      </c>
      <c r="D104" t="inlineStr">
        <is>
          <t>Vermilion</t>
        </is>
      </c>
      <c r="E104" t="inlineStr">
        <is>
          <t>block</t>
        </is>
      </c>
      <c r="F104" t="inlineStr">
        <is>
          <t>NTR.2</t>
        </is>
      </c>
      <c r="G104" t="inlineStr">
        <is>
          <t>6.09</t>
        </is>
      </c>
      <c r="H104" t="n">
        <v>53</v>
      </c>
      <c r="I104" t="n">
        <v>47.56</v>
      </c>
      <c r="J104" t="n">
        <v>35.27</v>
      </c>
      <c r="K104" t="n">
        <v>21.25</v>
      </c>
      <c r="L104">
        <f>ROUND(SQRT((I104-I86)^2+(J104-J86)^2+(K104-K86)^2),2)</f>
        <v/>
      </c>
      <c r="M104" t="inlineStr">
        <is>
          <t>measured</t>
        </is>
      </c>
    </row>
    <row r="105">
      <c r="A105" t="inlineStr">
        <is>
          <t>23C_40RH_room</t>
        </is>
      </c>
      <c r="B105" t="inlineStr">
        <is>
          <t>23 C / 40%RH (room-temp arm)</t>
        </is>
      </c>
      <c r="C105" t="inlineStr">
        <is>
          <t>measured</t>
        </is>
      </c>
      <c r="D105" t="inlineStr">
        <is>
          <t>Vermilion</t>
        </is>
      </c>
      <c r="E105" t="inlineStr">
        <is>
          <t>block</t>
        </is>
      </c>
      <c r="F105" t="inlineStr">
        <is>
          <t>NTR.2</t>
        </is>
      </c>
      <c r="G105" t="inlineStr">
        <is>
          <t>6.13</t>
        </is>
      </c>
      <c r="H105" t="n">
        <v>57</v>
      </c>
      <c r="I105" t="n">
        <v>47.22</v>
      </c>
      <c r="J105" t="n">
        <v>37.57</v>
      </c>
      <c r="K105" t="n">
        <v>20.85</v>
      </c>
      <c r="L105">
        <f>ROUND(SQRT((I105-I86)^2+(J105-J86)^2+(K105-K86)^2),2)</f>
        <v/>
      </c>
      <c r="M105" t="inlineStr">
        <is>
          <t>measured</t>
        </is>
      </c>
    </row>
    <row r="106">
      <c r="A106" t="inlineStr">
        <is>
          <t>23C_40RH_room</t>
        </is>
      </c>
      <c r="B106" t="inlineStr">
        <is>
          <t>23 C / 40%RH (room-temp arm)</t>
        </is>
      </c>
      <c r="C106" t="inlineStr">
        <is>
          <t>measured</t>
        </is>
      </c>
      <c r="D106" t="inlineStr">
        <is>
          <t>Vermilion</t>
        </is>
      </c>
      <c r="E106" t="inlineStr">
        <is>
          <t>block</t>
        </is>
      </c>
      <c r="F106" t="inlineStr">
        <is>
          <t>NTR.2</t>
        </is>
      </c>
      <c r="G106" t="inlineStr">
        <is>
          <t>6.17</t>
        </is>
      </c>
      <c r="H106" t="n">
        <v>61</v>
      </c>
      <c r="I106" t="n">
        <v>48.84</v>
      </c>
      <c r="J106" t="n">
        <v>37.17</v>
      </c>
      <c r="K106" t="n">
        <v>21.68</v>
      </c>
      <c r="L106">
        <f>ROUND(SQRT((I106-I86)^2+(J106-J86)^2+(K106-K86)^2),2)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Vermilion</t>
        </is>
      </c>
      <c r="E107" t="inlineStr">
        <is>
          <t>pedestal</t>
        </is>
      </c>
      <c r="F107" t="inlineStr">
        <is>
          <t>HR.1</t>
        </is>
      </c>
      <c r="G107" t="inlineStr">
        <is>
          <t>4.17</t>
        </is>
      </c>
      <c r="H107" t="n">
        <v>0</v>
      </c>
      <c r="I107" t="n">
        <v>47.45</v>
      </c>
      <c r="J107" t="n">
        <v>35.56</v>
      </c>
      <c r="K107" t="n">
        <v>18.73</v>
      </c>
      <c r="L107" t="n">
        <v>0</v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Vermilion</t>
        </is>
      </c>
      <c r="E108" t="inlineStr">
        <is>
          <t>pedestal</t>
        </is>
      </c>
      <c r="F108" t="inlineStr">
        <is>
          <t>HR.1</t>
        </is>
      </c>
      <c r="G108" t="inlineStr">
        <is>
          <t>4.20</t>
        </is>
      </c>
      <c r="H108" t="n">
        <v>3</v>
      </c>
      <c r="I108" t="n">
        <v>47.71</v>
      </c>
      <c r="J108" t="n">
        <v>34.97</v>
      </c>
      <c r="K108" t="n">
        <v>18.46</v>
      </c>
      <c r="L108">
        <f>ROUND(SQRT((I108-I107)^2+(J108-J107)^2+(K108-K107)^2),2)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Vermilion</t>
        </is>
      </c>
      <c r="E109" t="inlineStr">
        <is>
          <t>pedestal</t>
        </is>
      </c>
      <c r="F109" t="inlineStr">
        <is>
          <t>HR.1</t>
        </is>
      </c>
      <c r="G109" t="inlineStr">
        <is>
          <t>4.23</t>
        </is>
      </c>
      <c r="H109" t="n">
        <v>6</v>
      </c>
      <c r="I109" t="n">
        <v>45.44</v>
      </c>
      <c r="J109" t="n">
        <v>36.07</v>
      </c>
      <c r="K109" t="n">
        <v>18.27</v>
      </c>
      <c r="L109">
        <f>ROUND(SQRT((I109-I107)^2+(J109-J107)^2+(K109-K107)^2),2)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Vermilion</t>
        </is>
      </c>
      <c r="E110" t="inlineStr">
        <is>
          <t>pedestal</t>
        </is>
      </c>
      <c r="F110" t="inlineStr">
        <is>
          <t>HR.1</t>
        </is>
      </c>
      <c r="G110" t="inlineStr">
        <is>
          <t>4.26</t>
        </is>
      </c>
      <c r="H110" t="n">
        <v>9</v>
      </c>
      <c r="I110" t="n">
        <v>47.78</v>
      </c>
      <c r="J110" t="n">
        <v>35.38</v>
      </c>
      <c r="K110" t="n">
        <v>19.16</v>
      </c>
      <c r="L110">
        <f>ROUND(SQRT((I110-I107)^2+(J110-J107)^2+(K110-K107)^2),2)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Vermilion</t>
        </is>
      </c>
      <c r="E111" t="inlineStr">
        <is>
          <t>pedestal</t>
        </is>
      </c>
      <c r="F111" t="inlineStr">
        <is>
          <t>HR.1</t>
        </is>
      </c>
      <c r="G111" t="inlineStr">
        <is>
          <t>4.29</t>
        </is>
      </c>
      <c r="H111" t="n">
        <v>12</v>
      </c>
      <c r="I111" t="n">
        <v>44.98</v>
      </c>
      <c r="J111" t="n">
        <v>35.09</v>
      </c>
      <c r="K111" t="n">
        <v>19.53</v>
      </c>
      <c r="L111">
        <f>ROUND(SQRT((I111-I107)^2+(J111-J107)^2+(K111-K107)^2),2)</f>
        <v/>
      </c>
      <c r="M111" t="inlineStr">
        <is>
          <t>measured</t>
        </is>
      </c>
    </row>
    <row r="112">
      <c r="A112" t="inlineStr">
        <is>
          <t>40C_10RH_chamber</t>
        </is>
      </c>
      <c r="B112" t="inlineStr">
        <is>
          <t>40 C / 10%RH (chamber arm)</t>
        </is>
      </c>
      <c r="C112" t="inlineStr">
        <is>
          <t>measured</t>
        </is>
      </c>
      <c r="D112" t="inlineStr">
        <is>
          <t>Vermilion</t>
        </is>
      </c>
      <c r="E112" t="inlineStr">
        <is>
          <t>pedestal</t>
        </is>
      </c>
      <c r="F112" t="inlineStr">
        <is>
          <t>HR.1</t>
        </is>
      </c>
      <c r="G112" t="inlineStr">
        <is>
          <t>5.02</t>
        </is>
      </c>
      <c r="H112" t="n">
        <v>15</v>
      </c>
      <c r="I112" t="n">
        <v>46.35</v>
      </c>
      <c r="J112" t="n">
        <v>35.15</v>
      </c>
      <c r="K112" t="n">
        <v>19.69</v>
      </c>
      <c r="L112">
        <f>ROUND(SQRT((I112-I107)^2+(J112-J107)^2+(K112-K107)^2),2)</f>
        <v/>
      </c>
      <c r="M112" t="inlineStr">
        <is>
          <t>measured</t>
        </is>
      </c>
    </row>
    <row r="113">
      <c r="A113" t="inlineStr">
        <is>
          <t>40C_10RH_chamber</t>
        </is>
      </c>
      <c r="B113" t="inlineStr">
        <is>
          <t>40 C / 10%RH (chamber arm)</t>
        </is>
      </c>
      <c r="C113" t="inlineStr">
        <is>
          <t>measured</t>
        </is>
      </c>
      <c r="D113" t="inlineStr">
        <is>
          <t>Vermilion</t>
        </is>
      </c>
      <c r="E113" t="inlineStr">
        <is>
          <t>pedestal</t>
        </is>
      </c>
      <c r="F113" t="inlineStr">
        <is>
          <t>HR.1</t>
        </is>
      </c>
      <c r="G113" t="inlineStr">
        <is>
          <t>5.05</t>
        </is>
      </c>
      <c r="H113" t="n">
        <v>18</v>
      </c>
      <c r="I113" t="n">
        <v>47.9</v>
      </c>
      <c r="J113" t="n">
        <v>35.31</v>
      </c>
      <c r="K113" t="n">
        <v>19.29</v>
      </c>
      <c r="L113">
        <f>ROUND(SQRT((I113-I107)^2+(J113-J107)^2+(K113-K107)^2),2)</f>
        <v/>
      </c>
      <c r="M113" t="inlineStr">
        <is>
          <t>measured</t>
        </is>
      </c>
    </row>
    <row r="114">
      <c r="A114" t="inlineStr">
        <is>
          <t>40C_10RH_chamber</t>
        </is>
      </c>
      <c r="B114" t="inlineStr">
        <is>
          <t>40 C / 10%RH (chamber arm)</t>
        </is>
      </c>
      <c r="C114" t="inlineStr">
        <is>
          <t>measured</t>
        </is>
      </c>
      <c r="D114" t="inlineStr">
        <is>
          <t>Vermilion</t>
        </is>
      </c>
      <c r="E114" t="inlineStr">
        <is>
          <t>pedestal</t>
        </is>
      </c>
      <c r="F114" t="inlineStr">
        <is>
          <t>HR.1</t>
        </is>
      </c>
      <c r="G114" t="inlineStr">
        <is>
          <t>5.08</t>
        </is>
      </c>
      <c r="H114" t="n">
        <v>21</v>
      </c>
      <c r="I114" t="n">
        <v>47.94</v>
      </c>
      <c r="J114" t="n">
        <v>35.52</v>
      </c>
      <c r="K114" t="n">
        <v>18.23</v>
      </c>
      <c r="L114">
        <f>ROUND(SQRT((I114-I107)^2+(J114-J107)^2+(K114-K107)^2),2)</f>
        <v/>
      </c>
      <c r="M114" t="inlineStr">
        <is>
          <t>measured</t>
        </is>
      </c>
    </row>
    <row r="115">
      <c r="A115" t="inlineStr">
        <is>
          <t>40C_10RH_chamber</t>
        </is>
      </c>
      <c r="B115" t="inlineStr">
        <is>
          <t>40 C / 10%RH (chamber arm)</t>
        </is>
      </c>
      <c r="C115" t="inlineStr">
        <is>
          <t>measured</t>
        </is>
      </c>
      <c r="D115" t="inlineStr">
        <is>
          <t>Vermilion</t>
        </is>
      </c>
      <c r="E115" t="inlineStr">
        <is>
          <t>pedestal</t>
        </is>
      </c>
      <c r="F115" t="inlineStr">
        <is>
          <t>HR.1</t>
        </is>
      </c>
      <c r="G115" t="inlineStr">
        <is>
          <t>5.11</t>
        </is>
      </c>
      <c r="H115" t="n">
        <v>24</v>
      </c>
      <c r="I115" t="n">
        <v>46.81</v>
      </c>
      <c r="J115" t="n">
        <v>34.32</v>
      </c>
      <c r="K115" t="n">
        <v>18.5</v>
      </c>
      <c r="L115">
        <f>ROUND(SQRT((I115-I107)^2+(J115-J107)^2+(K115-K107)^2),2)</f>
        <v/>
      </c>
      <c r="M115" t="inlineStr">
        <is>
          <t>measured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Vermilion</t>
        </is>
      </c>
      <c r="E116" t="inlineStr">
        <is>
          <t>pedestal</t>
        </is>
      </c>
      <c r="F116" t="inlineStr">
        <is>
          <t>HR.1</t>
        </is>
      </c>
      <c r="G116" t="inlineStr">
        <is>
          <t>5.12</t>
        </is>
      </c>
      <c r="H116" t="n">
        <v>25</v>
      </c>
      <c r="I116" t="n">
        <v>47.13</v>
      </c>
      <c r="J116" t="n">
        <v>34.27</v>
      </c>
      <c r="K116" t="n">
        <v>18.77</v>
      </c>
      <c r="L116">
        <f>ROUND(SQRT((I116-I107)^2+(J116-J107)^2+(K116-K107)^2),2)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Vermilion</t>
        </is>
      </c>
      <c r="E117" t="inlineStr">
        <is>
          <t>pedestal</t>
        </is>
      </c>
      <c r="F117" t="inlineStr">
        <is>
          <t>HR.1</t>
        </is>
      </c>
      <c r="G117" t="inlineStr">
        <is>
          <t>5.14</t>
        </is>
      </c>
      <c r="H117" t="n">
        <v>27</v>
      </c>
      <c r="I117" t="n">
        <v>48.6</v>
      </c>
      <c r="J117" t="n">
        <v>35.73</v>
      </c>
      <c r="K117" t="n">
        <v>18.28</v>
      </c>
      <c r="L117">
        <f>ROUND(SQRT((I117-I107)^2+(J117-J107)^2+(K117-K107)^2),2)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Vermilion</t>
        </is>
      </c>
      <c r="E118" t="inlineStr">
        <is>
          <t>pedestal</t>
        </is>
      </c>
      <c r="F118" t="inlineStr">
        <is>
          <t>HR.1</t>
        </is>
      </c>
      <c r="G118" t="inlineStr">
        <is>
          <t>5.18</t>
        </is>
      </c>
      <c r="H118" t="n">
        <v>31</v>
      </c>
      <c r="I118" t="n">
        <v>47.33</v>
      </c>
      <c r="J118" t="n">
        <v>34.58</v>
      </c>
      <c r="K118" t="n">
        <v>18.21</v>
      </c>
      <c r="L118">
        <f>ROUND(SQRT((I118-I107)^2+(J118-J107)^2+(K118-K107)^2),2)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Vermilion</t>
        </is>
      </c>
      <c r="E119" t="inlineStr">
        <is>
          <t>pedestal</t>
        </is>
      </c>
      <c r="F119" t="inlineStr">
        <is>
          <t>HR.1</t>
        </is>
      </c>
      <c r="G119" t="inlineStr">
        <is>
          <t>5.21</t>
        </is>
      </c>
      <c r="H119" t="n">
        <v>34</v>
      </c>
      <c r="I119" t="n">
        <v>49.26</v>
      </c>
      <c r="J119" t="n">
        <v>33.81</v>
      </c>
      <c r="K119" t="n">
        <v>18.63</v>
      </c>
      <c r="L119">
        <f>ROUND(SQRT((I119-I107)^2+(J119-J107)^2+(K119-K107)^2),2)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Vermilion</t>
        </is>
      </c>
      <c r="E120" t="inlineStr">
        <is>
          <t>pedestal</t>
        </is>
      </c>
      <c r="F120" t="inlineStr">
        <is>
          <t>HR.1</t>
        </is>
      </c>
      <c r="G120" t="inlineStr">
        <is>
          <t>5.24</t>
        </is>
      </c>
      <c r="H120" t="n">
        <v>37</v>
      </c>
      <c r="I120" t="n">
        <v>47.71</v>
      </c>
      <c r="J120" t="n">
        <v>35.04</v>
      </c>
      <c r="K120" t="n">
        <v>17.95</v>
      </c>
      <c r="L120">
        <f>ROUND(SQRT((I120-I107)^2+(J120-J107)^2+(K120-K107)^2),2)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Vermilion</t>
        </is>
      </c>
      <c r="E121" t="inlineStr">
        <is>
          <t>pedestal</t>
        </is>
      </c>
      <c r="F121" t="inlineStr">
        <is>
          <t>HR.1</t>
        </is>
      </c>
      <c r="G121" t="inlineStr">
        <is>
          <t>5.28</t>
        </is>
      </c>
      <c r="H121" t="n">
        <v>41</v>
      </c>
      <c r="I121" t="n">
        <v>48.03</v>
      </c>
      <c r="J121" t="n">
        <v>34.97</v>
      </c>
      <c r="K121" t="n">
        <v>17.41</v>
      </c>
      <c r="L121">
        <f>ROUND(SQRT((I121-I107)^2+(J121-J107)^2+(K121-K107)^2),2)</f>
        <v/>
      </c>
      <c r="M121" t="inlineStr">
        <is>
          <t>measured</t>
        </is>
      </c>
    </row>
    <row r="122">
      <c r="A122" t="inlineStr">
        <is>
          <t>40C_10RH_chamber</t>
        </is>
      </c>
      <c r="B122" t="inlineStr">
        <is>
          <t>40 C / 10%RH (chamber arm)</t>
        </is>
      </c>
      <c r="C122" t="inlineStr">
        <is>
          <t>measured</t>
        </is>
      </c>
      <c r="D122" t="inlineStr">
        <is>
          <t>Vermilion</t>
        </is>
      </c>
      <c r="E122" t="inlineStr">
        <is>
          <t>pedestal</t>
        </is>
      </c>
      <c r="F122" t="inlineStr">
        <is>
          <t>HR.1</t>
        </is>
      </c>
      <c r="G122" t="inlineStr">
        <is>
          <t>5.31</t>
        </is>
      </c>
      <c r="H122" t="n">
        <v>44</v>
      </c>
      <c r="I122" t="n">
        <v>48.9</v>
      </c>
      <c r="J122" t="n">
        <v>33.51</v>
      </c>
      <c r="K122" t="n">
        <v>17.57</v>
      </c>
      <c r="L122">
        <f>ROUND(SQRT((I122-I107)^2+(J122-J107)^2+(K122-K107)^2),2)</f>
        <v/>
      </c>
      <c r="M122" t="inlineStr">
        <is>
          <t>measured</t>
        </is>
      </c>
    </row>
    <row r="123">
      <c r="A123" t="inlineStr">
        <is>
          <t>40C_10RH_chamber</t>
        </is>
      </c>
      <c r="B123" t="inlineStr">
        <is>
          <t>40 C / 10%RH (chamber arm)</t>
        </is>
      </c>
      <c r="C123" t="inlineStr">
        <is>
          <t>measured</t>
        </is>
      </c>
      <c r="D123" t="inlineStr">
        <is>
          <t>Vermilion</t>
        </is>
      </c>
      <c r="E123" t="inlineStr">
        <is>
          <t>pedestal</t>
        </is>
      </c>
      <c r="F123" t="inlineStr">
        <is>
          <t>HR.1</t>
        </is>
      </c>
      <c r="G123" t="inlineStr">
        <is>
          <t>6.03</t>
        </is>
      </c>
      <c r="H123" t="n">
        <v>47</v>
      </c>
      <c r="I123" t="n">
        <v>47.88</v>
      </c>
      <c r="J123" t="n">
        <v>34.67</v>
      </c>
      <c r="K123" t="n">
        <v>18.24</v>
      </c>
      <c r="L123">
        <f>ROUND(SQRT((I123-I107)^2+(J123-J107)^2+(K123-K107)^2),2)</f>
        <v/>
      </c>
      <c r="M123" t="inlineStr">
        <is>
          <t>measured</t>
        </is>
      </c>
    </row>
    <row r="124">
      <c r="A124" t="inlineStr">
        <is>
          <t>40C_10RH_chamber</t>
        </is>
      </c>
      <c r="B124" t="inlineStr">
        <is>
          <t>40 C / 10%RH (chamber arm)</t>
        </is>
      </c>
      <c r="C124" t="inlineStr">
        <is>
          <t>measured</t>
        </is>
      </c>
      <c r="D124" t="inlineStr">
        <is>
          <t>Vermilion</t>
        </is>
      </c>
      <c r="E124" t="inlineStr">
        <is>
          <t>pedestal</t>
        </is>
      </c>
      <c r="F124" t="inlineStr">
        <is>
          <t>HR.1</t>
        </is>
      </c>
      <c r="G124" t="inlineStr">
        <is>
          <t>6.06</t>
        </is>
      </c>
      <c r="H124" t="n">
        <v>50</v>
      </c>
      <c r="I124" t="n">
        <v>47.11</v>
      </c>
      <c r="J124" t="n">
        <v>34.96</v>
      </c>
      <c r="K124" t="n">
        <v>17.74</v>
      </c>
      <c r="L124">
        <f>ROUND(SQRT((I124-I107)^2+(J124-J107)^2+(K124-K107)^2),2)</f>
        <v/>
      </c>
      <c r="M124" t="inlineStr">
        <is>
          <t>measured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Vermilion</t>
        </is>
      </c>
      <c r="E125" t="inlineStr">
        <is>
          <t>pedestal</t>
        </is>
      </c>
      <c r="F125" t="inlineStr">
        <is>
          <t>HR.1</t>
        </is>
      </c>
      <c r="G125" t="inlineStr">
        <is>
          <t>6.09</t>
        </is>
      </c>
      <c r="H125" t="n">
        <v>53</v>
      </c>
      <c r="I125" t="n">
        <v>47.75</v>
      </c>
      <c r="J125" t="n">
        <v>34.64</v>
      </c>
      <c r="K125" t="n">
        <v>17.92</v>
      </c>
      <c r="L125">
        <f>ROUND(SQRT((I125-I107)^2+(J125-J107)^2+(K125-K107)^2),2)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Vermilion</t>
        </is>
      </c>
      <c r="E126" t="inlineStr">
        <is>
          <t>pedestal</t>
        </is>
      </c>
      <c r="F126" t="inlineStr">
        <is>
          <t>HR.1</t>
        </is>
      </c>
      <c r="G126" t="inlineStr">
        <is>
          <t>6.13</t>
        </is>
      </c>
      <c r="H126" t="n">
        <v>57</v>
      </c>
      <c r="I126" t="n">
        <v>47.83</v>
      </c>
      <c r="J126" t="n">
        <v>34.73</v>
      </c>
      <c r="K126" t="n">
        <v>18.07</v>
      </c>
      <c r="L126">
        <f>ROUND(SQRT((I126-I107)^2+(J126-J107)^2+(K126-K107)^2),2)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Vermilion</t>
        </is>
      </c>
      <c r="E127" t="inlineStr">
        <is>
          <t>pedestal</t>
        </is>
      </c>
      <c r="F127" t="inlineStr">
        <is>
          <t>HR.1</t>
        </is>
      </c>
      <c r="G127" t="inlineStr">
        <is>
          <t>6.17</t>
        </is>
      </c>
      <c r="H127" t="n">
        <v>61</v>
      </c>
      <c r="I127" t="n">
        <v>46.93</v>
      </c>
      <c r="J127" t="n">
        <v>33.22</v>
      </c>
      <c r="K127" t="n">
        <v>17.26</v>
      </c>
      <c r="L127">
        <f>ROUND(SQRT((I127-I107)^2+(J127-J107)^2+(K127-K107)^2),2)</f>
        <v/>
      </c>
      <c r="M127" t="inlineStr">
        <is>
          <t>measured</t>
        </is>
      </c>
    </row>
    <row r="128">
      <c r="A128" t="inlineStr">
        <is>
          <t>40C_10RH_chamber</t>
        </is>
      </c>
      <c r="B128" t="inlineStr">
        <is>
          <t>40 C / 10%RH (chamber arm)</t>
        </is>
      </c>
      <c r="C128" t="inlineStr">
        <is>
          <t>measured</t>
        </is>
      </c>
      <c r="D128" t="inlineStr">
        <is>
          <t>Vermilion</t>
        </is>
      </c>
      <c r="E128" t="inlineStr">
        <is>
          <t>pedestal</t>
        </is>
      </c>
      <c r="F128" t="inlineStr">
        <is>
          <t>HR.2</t>
        </is>
      </c>
      <c r="G128" t="inlineStr">
        <is>
          <t>4.17</t>
        </is>
      </c>
      <c r="H128" t="n">
        <v>0</v>
      </c>
      <c r="I128" t="n">
        <v>46.45</v>
      </c>
      <c r="J128" t="n">
        <v>36.05</v>
      </c>
      <c r="K128" t="n">
        <v>19</v>
      </c>
      <c r="L128" t="n">
        <v>0</v>
      </c>
      <c r="M128" t="inlineStr">
        <is>
          <t>measured</t>
        </is>
      </c>
    </row>
    <row r="129">
      <c r="A129" t="inlineStr">
        <is>
          <t>40C_10RH_chamber</t>
        </is>
      </c>
      <c r="B129" t="inlineStr">
        <is>
          <t>40 C / 10%RH (chamber arm)</t>
        </is>
      </c>
      <c r="C129" t="inlineStr">
        <is>
          <t>measured</t>
        </is>
      </c>
      <c r="D129" t="inlineStr">
        <is>
          <t>Vermilion</t>
        </is>
      </c>
      <c r="E129" t="inlineStr">
        <is>
          <t>pedestal</t>
        </is>
      </c>
      <c r="F129" t="inlineStr">
        <is>
          <t>HR.2</t>
        </is>
      </c>
      <c r="G129" t="inlineStr">
        <is>
          <t>4.20</t>
        </is>
      </c>
      <c r="H129" t="n">
        <v>3</v>
      </c>
      <c r="I129" t="n">
        <v>46.72</v>
      </c>
      <c r="J129" t="n">
        <v>36.96</v>
      </c>
      <c r="K129" t="n">
        <v>18.82</v>
      </c>
      <c r="L129">
        <f>ROUND(SQRT((I129-I128)^2+(J129-J128)^2+(K129-K128)^2),2)</f>
        <v/>
      </c>
      <c r="M129" t="inlineStr">
        <is>
          <t>measured</t>
        </is>
      </c>
    </row>
    <row r="130">
      <c r="A130" t="inlineStr">
        <is>
          <t>40C_10RH_chamber</t>
        </is>
      </c>
      <c r="B130" t="inlineStr">
        <is>
          <t>40 C / 10%RH (chamber arm)</t>
        </is>
      </c>
      <c r="C130" t="inlineStr">
        <is>
          <t>measured</t>
        </is>
      </c>
      <c r="D130" t="inlineStr">
        <is>
          <t>Vermilion</t>
        </is>
      </c>
      <c r="E130" t="inlineStr">
        <is>
          <t>pedestal</t>
        </is>
      </c>
      <c r="F130" t="inlineStr">
        <is>
          <t>HR.2</t>
        </is>
      </c>
      <c r="G130" t="inlineStr">
        <is>
          <t>4.23</t>
        </is>
      </c>
      <c r="H130" t="n">
        <v>6</v>
      </c>
      <c r="I130" t="n">
        <v>45.6</v>
      </c>
      <c r="J130" t="n">
        <v>36.36</v>
      </c>
      <c r="K130" t="n">
        <v>19</v>
      </c>
      <c r="L130">
        <f>ROUND(SQRT((I130-I128)^2+(J130-J128)^2+(K130-K128)^2),2)</f>
        <v/>
      </c>
      <c r="M130" t="inlineStr">
        <is>
          <t>measured</t>
        </is>
      </c>
    </row>
    <row r="131">
      <c r="A131" t="inlineStr">
        <is>
          <t>40C_10RH_chamber</t>
        </is>
      </c>
      <c r="B131" t="inlineStr">
        <is>
          <t>40 C / 10%RH (chamber arm)</t>
        </is>
      </c>
      <c r="C131" t="inlineStr">
        <is>
          <t>measured</t>
        </is>
      </c>
      <c r="D131" t="inlineStr">
        <is>
          <t>Vermilion</t>
        </is>
      </c>
      <c r="E131" t="inlineStr">
        <is>
          <t>pedestal</t>
        </is>
      </c>
      <c r="F131" t="inlineStr">
        <is>
          <t>HR.2</t>
        </is>
      </c>
      <c r="G131" t="inlineStr">
        <is>
          <t>4.26</t>
        </is>
      </c>
      <c r="H131" t="n">
        <v>9</v>
      </c>
      <c r="I131" t="n">
        <v>47.49</v>
      </c>
      <c r="J131" t="n">
        <v>35.95</v>
      </c>
      <c r="K131" t="n">
        <v>20.59</v>
      </c>
      <c r="L131">
        <f>ROUND(SQRT((I131-I128)^2+(J131-J128)^2+(K131-K128)^2),2)</f>
        <v/>
      </c>
      <c r="M131" t="inlineStr">
        <is>
          <t>measured</t>
        </is>
      </c>
    </row>
    <row r="132">
      <c r="A132" t="inlineStr">
        <is>
          <t>40C_10RH_chamber</t>
        </is>
      </c>
      <c r="B132" t="inlineStr">
        <is>
          <t>40 C / 10%RH (chamber arm)</t>
        </is>
      </c>
      <c r="C132" t="inlineStr">
        <is>
          <t>measured</t>
        </is>
      </c>
      <c r="D132" t="inlineStr">
        <is>
          <t>Vermilion</t>
        </is>
      </c>
      <c r="E132" t="inlineStr">
        <is>
          <t>pedestal</t>
        </is>
      </c>
      <c r="F132" t="inlineStr">
        <is>
          <t>HR.2</t>
        </is>
      </c>
      <c r="G132" t="inlineStr">
        <is>
          <t>4.29</t>
        </is>
      </c>
      <c r="H132" t="n">
        <v>12</v>
      </c>
      <c r="I132" t="n">
        <v>46.14</v>
      </c>
      <c r="J132" t="n">
        <v>36.72</v>
      </c>
      <c r="K132" t="n">
        <v>17.87</v>
      </c>
      <c r="L132">
        <f>ROUND(SQRT((I132-I128)^2+(J132-J128)^2+(K132-K128)^2),2)</f>
        <v/>
      </c>
      <c r="M132" t="inlineStr">
        <is>
          <t>measured</t>
        </is>
      </c>
    </row>
    <row r="133">
      <c r="A133" t="inlineStr">
        <is>
          <t>40C_10RH_chamber</t>
        </is>
      </c>
      <c r="B133" t="inlineStr">
        <is>
          <t>40 C / 10%RH (chamber arm)</t>
        </is>
      </c>
      <c r="C133" t="inlineStr">
        <is>
          <t>measured</t>
        </is>
      </c>
      <c r="D133" t="inlineStr">
        <is>
          <t>Vermilion</t>
        </is>
      </c>
      <c r="E133" t="inlineStr">
        <is>
          <t>pedestal</t>
        </is>
      </c>
      <c r="F133" t="inlineStr">
        <is>
          <t>HR.2</t>
        </is>
      </c>
      <c r="G133" t="inlineStr">
        <is>
          <t>5.02</t>
        </is>
      </c>
      <c r="H133" t="n">
        <v>15</v>
      </c>
      <c r="I133" t="n">
        <v>45.34</v>
      </c>
      <c r="J133" t="n">
        <v>36.1</v>
      </c>
      <c r="K133" t="n">
        <v>19.83</v>
      </c>
      <c r="L133">
        <f>ROUND(SQRT((I133-I128)^2+(J133-J128)^2+(K133-K128)^2),2)</f>
        <v/>
      </c>
      <c r="M133" t="inlineStr">
        <is>
          <t>measured</t>
        </is>
      </c>
    </row>
    <row r="134">
      <c r="A134" t="inlineStr">
        <is>
          <t>40C_10RH_chamber</t>
        </is>
      </c>
      <c r="B134" t="inlineStr">
        <is>
          <t>40 C / 10%RH (chamber arm)</t>
        </is>
      </c>
      <c r="C134" t="inlineStr">
        <is>
          <t>measured</t>
        </is>
      </c>
      <c r="D134" t="inlineStr">
        <is>
          <t>Vermilion</t>
        </is>
      </c>
      <c r="E134" t="inlineStr">
        <is>
          <t>pedestal</t>
        </is>
      </c>
      <c r="F134" t="inlineStr">
        <is>
          <t>HR.2</t>
        </is>
      </c>
      <c r="G134" t="inlineStr">
        <is>
          <t>5.05</t>
        </is>
      </c>
      <c r="H134" t="n">
        <v>18</v>
      </c>
      <c r="I134" t="n">
        <v>45.77</v>
      </c>
      <c r="J134" t="n">
        <v>36.55</v>
      </c>
      <c r="K134" t="n">
        <v>18.86</v>
      </c>
      <c r="L134">
        <f>ROUND(SQRT((I134-I128)^2+(J134-J128)^2+(K134-K128)^2),2)</f>
        <v/>
      </c>
      <c r="M134" t="inlineStr">
        <is>
          <t>measured</t>
        </is>
      </c>
    </row>
    <row r="135">
      <c r="A135" t="inlineStr">
        <is>
          <t>40C_10RH_chamber</t>
        </is>
      </c>
      <c r="B135" t="inlineStr">
        <is>
          <t>40 C / 10%RH (chamber arm)</t>
        </is>
      </c>
      <c r="C135" t="inlineStr">
        <is>
          <t>measured</t>
        </is>
      </c>
      <c r="D135" t="inlineStr">
        <is>
          <t>Vermilion</t>
        </is>
      </c>
      <c r="E135" t="inlineStr">
        <is>
          <t>pedestal</t>
        </is>
      </c>
      <c r="F135" t="inlineStr">
        <is>
          <t>HR.2</t>
        </is>
      </c>
      <c r="G135" t="inlineStr">
        <is>
          <t>5.08</t>
        </is>
      </c>
      <c r="H135" t="n">
        <v>21</v>
      </c>
      <c r="I135" t="n">
        <v>45.8</v>
      </c>
      <c r="J135" t="n">
        <v>37.32</v>
      </c>
      <c r="K135" t="n">
        <v>19.01</v>
      </c>
      <c r="L135">
        <f>ROUND(SQRT((I135-I128)^2+(J135-J128)^2+(K135-K128)^2),2)</f>
        <v/>
      </c>
      <c r="M135" t="inlineStr">
        <is>
          <t>measured</t>
        </is>
      </c>
    </row>
    <row r="136">
      <c r="A136" t="inlineStr">
        <is>
          <t>40C_10RH_chamber</t>
        </is>
      </c>
      <c r="B136" t="inlineStr">
        <is>
          <t>40 C / 10%RH (chamber arm)</t>
        </is>
      </c>
      <c r="C136" t="inlineStr">
        <is>
          <t>measured</t>
        </is>
      </c>
      <c r="D136" t="inlineStr">
        <is>
          <t>Vermilion</t>
        </is>
      </c>
      <c r="E136" t="inlineStr">
        <is>
          <t>pedestal</t>
        </is>
      </c>
      <c r="F136" t="inlineStr">
        <is>
          <t>HR.2</t>
        </is>
      </c>
      <c r="G136" t="inlineStr">
        <is>
          <t>5.11</t>
        </is>
      </c>
      <c r="H136" t="n">
        <v>24</v>
      </c>
      <c r="I136" t="n">
        <v>46.56</v>
      </c>
      <c r="J136" t="n">
        <v>36.32</v>
      </c>
      <c r="K136" t="n">
        <v>18.76</v>
      </c>
      <c r="L136">
        <f>ROUND(SQRT((I136-I128)^2+(J136-J128)^2+(K136-K128)^2),2)</f>
        <v/>
      </c>
      <c r="M136" t="inlineStr">
        <is>
          <t>measured</t>
        </is>
      </c>
    </row>
    <row r="137">
      <c r="A137" t="inlineStr">
        <is>
          <t>40C_10RH_chamber</t>
        </is>
      </c>
      <c r="B137" t="inlineStr">
        <is>
          <t>40 C / 10%RH (chamber arm)</t>
        </is>
      </c>
      <c r="C137" t="inlineStr">
        <is>
          <t>measured</t>
        </is>
      </c>
      <c r="D137" t="inlineStr">
        <is>
          <t>Vermilion</t>
        </is>
      </c>
      <c r="E137" t="inlineStr">
        <is>
          <t>pedestal</t>
        </is>
      </c>
      <c r="F137" t="inlineStr">
        <is>
          <t>HR.2</t>
        </is>
      </c>
      <c r="G137" t="inlineStr">
        <is>
          <t>5.12</t>
        </is>
      </c>
      <c r="H137" t="n">
        <v>25</v>
      </c>
      <c r="I137" t="n">
        <v>46.34</v>
      </c>
      <c r="J137" t="n">
        <v>37.3</v>
      </c>
      <c r="K137" t="n">
        <v>18.98</v>
      </c>
      <c r="L137">
        <f>ROUND(SQRT((I137-I128)^2+(J137-J128)^2+(K137-K128)^2),2)</f>
        <v/>
      </c>
      <c r="M137" t="inlineStr">
        <is>
          <t>measured</t>
        </is>
      </c>
    </row>
    <row r="138">
      <c r="A138" t="inlineStr">
        <is>
          <t>40C_10RH_chamber</t>
        </is>
      </c>
      <c r="B138" t="inlineStr">
        <is>
          <t>40 C / 10%RH (chamber arm)</t>
        </is>
      </c>
      <c r="C138" t="inlineStr">
        <is>
          <t>measured</t>
        </is>
      </c>
      <c r="D138" t="inlineStr">
        <is>
          <t>Vermilion</t>
        </is>
      </c>
      <c r="E138" t="inlineStr">
        <is>
          <t>pedestal</t>
        </is>
      </c>
      <c r="F138" t="inlineStr">
        <is>
          <t>HR.2</t>
        </is>
      </c>
      <c r="G138" t="inlineStr">
        <is>
          <t>5.14</t>
        </is>
      </c>
      <c r="H138" t="n">
        <v>27</v>
      </c>
      <c r="I138" t="n">
        <v>46.3</v>
      </c>
      <c r="J138" t="n">
        <v>37.27</v>
      </c>
      <c r="K138" t="n">
        <v>18.53</v>
      </c>
      <c r="L138">
        <f>ROUND(SQRT((I138-I128)^2+(J138-J128)^2+(K138-K128)^2),2)</f>
        <v/>
      </c>
      <c r="M138" t="inlineStr">
        <is>
          <t>measured</t>
        </is>
      </c>
    </row>
    <row r="139">
      <c r="A139" t="inlineStr">
        <is>
          <t>40C_10RH_chamber</t>
        </is>
      </c>
      <c r="B139" t="inlineStr">
        <is>
          <t>40 C / 10%RH (chamber arm)</t>
        </is>
      </c>
      <c r="C139" t="inlineStr">
        <is>
          <t>measured</t>
        </is>
      </c>
      <c r="D139" t="inlineStr">
        <is>
          <t>Vermilion</t>
        </is>
      </c>
      <c r="E139" t="inlineStr">
        <is>
          <t>pedestal</t>
        </is>
      </c>
      <c r="F139" t="inlineStr">
        <is>
          <t>HR.2</t>
        </is>
      </c>
      <c r="G139" t="inlineStr">
        <is>
          <t>5.18</t>
        </is>
      </c>
      <c r="H139" t="n">
        <v>31</v>
      </c>
      <c r="I139" t="n">
        <v>46.98</v>
      </c>
      <c r="J139" t="n">
        <v>36.24</v>
      </c>
      <c r="K139" t="n">
        <v>19.6</v>
      </c>
      <c r="L139">
        <f>ROUND(SQRT((I139-I128)^2+(J139-J128)^2+(K139-K128)^2),2)</f>
        <v/>
      </c>
      <c r="M139" t="inlineStr">
        <is>
          <t>measured</t>
        </is>
      </c>
    </row>
    <row r="140">
      <c r="A140" t="inlineStr">
        <is>
          <t>40C_10RH_chamber</t>
        </is>
      </c>
      <c r="B140" t="inlineStr">
        <is>
          <t>40 C / 10%RH (chamber arm)</t>
        </is>
      </c>
      <c r="C140" t="inlineStr">
        <is>
          <t>measured</t>
        </is>
      </c>
      <c r="D140" t="inlineStr">
        <is>
          <t>Vermilion</t>
        </is>
      </c>
      <c r="E140" t="inlineStr">
        <is>
          <t>pedestal</t>
        </is>
      </c>
      <c r="F140" t="inlineStr">
        <is>
          <t>HR.2</t>
        </is>
      </c>
      <c r="G140" t="inlineStr">
        <is>
          <t>5.21</t>
        </is>
      </c>
      <c r="H140" t="n">
        <v>34</v>
      </c>
      <c r="I140" t="n">
        <v>46.79</v>
      </c>
      <c r="J140" t="n">
        <v>37.67</v>
      </c>
      <c r="K140" t="n">
        <v>18.22</v>
      </c>
      <c r="L140">
        <f>ROUND(SQRT((I140-I128)^2+(J140-J128)^2+(K140-K128)^2),2)</f>
        <v/>
      </c>
      <c r="M140" t="inlineStr">
        <is>
          <t>measured</t>
        </is>
      </c>
    </row>
    <row r="141">
      <c r="A141" t="inlineStr">
        <is>
          <t>40C_10RH_chamber</t>
        </is>
      </c>
      <c r="B141" t="inlineStr">
        <is>
          <t>40 C / 10%RH (chamber arm)</t>
        </is>
      </c>
      <c r="C141" t="inlineStr">
        <is>
          <t>measured</t>
        </is>
      </c>
      <c r="D141" t="inlineStr">
        <is>
          <t>Vermilion</t>
        </is>
      </c>
      <c r="E141" t="inlineStr">
        <is>
          <t>pedestal</t>
        </is>
      </c>
      <c r="F141" t="inlineStr">
        <is>
          <t>HR.2</t>
        </is>
      </c>
      <c r="G141" t="inlineStr">
        <is>
          <t>5.24</t>
        </is>
      </c>
      <c r="H141" t="n">
        <v>37</v>
      </c>
      <c r="I141" t="n">
        <v>46.79</v>
      </c>
      <c r="J141" t="n">
        <v>37.56</v>
      </c>
      <c r="K141" t="n">
        <v>19.3</v>
      </c>
      <c r="L141">
        <f>ROUND(SQRT((I141-I128)^2+(J141-J128)^2+(K141-K128)^2),2)</f>
        <v/>
      </c>
      <c r="M141" t="inlineStr">
        <is>
          <t>measured</t>
        </is>
      </c>
    </row>
    <row r="142">
      <c r="A142" t="inlineStr">
        <is>
          <t>40C_10RH_chamber</t>
        </is>
      </c>
      <c r="B142" t="inlineStr">
        <is>
          <t>40 C / 10%RH (chamber arm)</t>
        </is>
      </c>
      <c r="C142" t="inlineStr">
        <is>
          <t>measured</t>
        </is>
      </c>
      <c r="D142" t="inlineStr">
        <is>
          <t>Vermilion</t>
        </is>
      </c>
      <c r="E142" t="inlineStr">
        <is>
          <t>pedestal</t>
        </is>
      </c>
      <c r="F142" t="inlineStr">
        <is>
          <t>HR.2</t>
        </is>
      </c>
      <c r="G142" t="inlineStr">
        <is>
          <t>5.28</t>
        </is>
      </c>
      <c r="H142" t="n">
        <v>41</v>
      </c>
      <c r="I142" t="n">
        <v>46.86</v>
      </c>
      <c r="J142" t="n">
        <v>37.25</v>
      </c>
      <c r="K142" t="n">
        <v>18</v>
      </c>
      <c r="L142">
        <f>ROUND(SQRT((I142-I128)^2+(J142-J128)^2+(K142-K128)^2),2)</f>
        <v/>
      </c>
      <c r="M142" t="inlineStr">
        <is>
          <t>measured</t>
        </is>
      </c>
    </row>
    <row r="143">
      <c r="A143" t="inlineStr">
        <is>
          <t>40C_10RH_chamber</t>
        </is>
      </c>
      <c r="B143" t="inlineStr">
        <is>
          <t>40 C / 10%RH (chamber arm)</t>
        </is>
      </c>
      <c r="C143" t="inlineStr">
        <is>
          <t>measured</t>
        </is>
      </c>
      <c r="D143" t="inlineStr">
        <is>
          <t>Vermilion</t>
        </is>
      </c>
      <c r="E143" t="inlineStr">
        <is>
          <t>pedestal</t>
        </is>
      </c>
      <c r="F143" t="inlineStr">
        <is>
          <t>HR.2</t>
        </is>
      </c>
      <c r="G143" t="inlineStr">
        <is>
          <t>5.31</t>
        </is>
      </c>
      <c r="H143" t="n">
        <v>44</v>
      </c>
      <c r="I143" t="n">
        <v>47.02</v>
      </c>
      <c r="J143" t="n">
        <v>36.73</v>
      </c>
      <c r="K143" t="n">
        <v>18.37</v>
      </c>
      <c r="L143">
        <f>ROUND(SQRT((I143-I128)^2+(J143-J128)^2+(K143-K128)^2),2)</f>
        <v/>
      </c>
      <c r="M143" t="inlineStr">
        <is>
          <t>measured</t>
        </is>
      </c>
    </row>
    <row r="144">
      <c r="A144" t="inlineStr">
        <is>
          <t>40C_10RH_chamber</t>
        </is>
      </c>
      <c r="B144" t="inlineStr">
        <is>
          <t>40 C / 10%RH (chamber arm)</t>
        </is>
      </c>
      <c r="C144" t="inlineStr">
        <is>
          <t>measured</t>
        </is>
      </c>
      <c r="D144" t="inlineStr">
        <is>
          <t>Vermilion</t>
        </is>
      </c>
      <c r="E144" t="inlineStr">
        <is>
          <t>pedestal</t>
        </is>
      </c>
      <c r="F144" t="inlineStr">
        <is>
          <t>HR.2</t>
        </is>
      </c>
      <c r="G144" t="inlineStr">
        <is>
          <t>6.03</t>
        </is>
      </c>
      <c r="H144" t="n">
        <v>47</v>
      </c>
      <c r="I144" t="n">
        <v>45.12</v>
      </c>
      <c r="J144" t="n">
        <v>36.74</v>
      </c>
      <c r="K144" t="n">
        <v>17.62</v>
      </c>
      <c r="L144">
        <f>ROUND(SQRT((I144-I128)^2+(J144-J128)^2+(K144-K128)^2),2)</f>
        <v/>
      </c>
      <c r="M144" t="inlineStr">
        <is>
          <t>measured</t>
        </is>
      </c>
    </row>
    <row r="145">
      <c r="A145" t="inlineStr">
        <is>
          <t>40C_10RH_chamber</t>
        </is>
      </c>
      <c r="B145" t="inlineStr">
        <is>
          <t>40 C / 10%RH (chamber arm)</t>
        </is>
      </c>
      <c r="C145" t="inlineStr">
        <is>
          <t>measured</t>
        </is>
      </c>
      <c r="D145" t="inlineStr">
        <is>
          <t>Vermilion</t>
        </is>
      </c>
      <c r="E145" t="inlineStr">
        <is>
          <t>pedestal</t>
        </is>
      </c>
      <c r="F145" t="inlineStr">
        <is>
          <t>HR.2</t>
        </is>
      </c>
      <c r="G145" t="inlineStr">
        <is>
          <t>6.06</t>
        </is>
      </c>
      <c r="H145" t="n">
        <v>50</v>
      </c>
      <c r="I145" t="n">
        <v>46.35</v>
      </c>
      <c r="J145" t="n">
        <v>37.05</v>
      </c>
      <c r="K145" t="n">
        <v>18.65</v>
      </c>
      <c r="L145">
        <f>ROUND(SQRT((I145-I128)^2+(J145-J128)^2+(K145-K128)^2),2)</f>
        <v/>
      </c>
      <c r="M145" t="inlineStr">
        <is>
          <t>measured</t>
        </is>
      </c>
    </row>
    <row r="146">
      <c r="A146" t="inlineStr">
        <is>
          <t>40C_10RH_chamber</t>
        </is>
      </c>
      <c r="B146" t="inlineStr">
        <is>
          <t>40 C / 10%RH (chamber arm)</t>
        </is>
      </c>
      <c r="C146" t="inlineStr">
        <is>
          <t>measured</t>
        </is>
      </c>
      <c r="D146" t="inlineStr">
        <is>
          <t>Vermilion</t>
        </is>
      </c>
      <c r="E146" t="inlineStr">
        <is>
          <t>pedestal</t>
        </is>
      </c>
      <c r="F146" t="inlineStr">
        <is>
          <t>HR.2</t>
        </is>
      </c>
      <c r="G146" t="inlineStr">
        <is>
          <t>6.09</t>
        </is>
      </c>
      <c r="H146" t="n">
        <v>53</v>
      </c>
      <c r="I146" t="n">
        <v>45.09</v>
      </c>
      <c r="J146" t="n">
        <v>37.88</v>
      </c>
      <c r="K146" t="n">
        <v>19.3</v>
      </c>
      <c r="L146">
        <f>ROUND(SQRT((I146-I128)^2+(J146-J128)^2+(K146-K128)^2),2)</f>
        <v/>
      </c>
      <c r="M146" t="inlineStr">
        <is>
          <t>measured</t>
        </is>
      </c>
    </row>
    <row r="147">
      <c r="A147" t="inlineStr">
        <is>
          <t>40C_10RH_chamber</t>
        </is>
      </c>
      <c r="B147" t="inlineStr">
        <is>
          <t>40 C / 10%RH (chamber arm)</t>
        </is>
      </c>
      <c r="C147" t="inlineStr">
        <is>
          <t>measured</t>
        </is>
      </c>
      <c r="D147" t="inlineStr">
        <is>
          <t>Vermilion</t>
        </is>
      </c>
      <c r="E147" t="inlineStr">
        <is>
          <t>pedestal</t>
        </is>
      </c>
      <c r="F147" t="inlineStr">
        <is>
          <t>HR.2</t>
        </is>
      </c>
      <c r="G147" t="inlineStr">
        <is>
          <t>6.13</t>
        </is>
      </c>
      <c r="H147" t="n">
        <v>57</v>
      </c>
      <c r="I147" t="n">
        <v>46.65</v>
      </c>
      <c r="J147" t="n">
        <v>36.94</v>
      </c>
      <c r="K147" t="n">
        <v>18.19</v>
      </c>
      <c r="L147">
        <f>ROUND(SQRT((I147-I128)^2+(J147-J128)^2+(K147-K128)^2),2)</f>
        <v/>
      </c>
      <c r="M147" t="inlineStr">
        <is>
          <t>measured</t>
        </is>
      </c>
    </row>
    <row r="148">
      <c r="A148" t="inlineStr">
        <is>
          <t>40C_10RH_chamber</t>
        </is>
      </c>
      <c r="B148" t="inlineStr">
        <is>
          <t>40 C / 10%RH (chamber arm)</t>
        </is>
      </c>
      <c r="C148" t="inlineStr">
        <is>
          <t>measured</t>
        </is>
      </c>
      <c r="D148" t="inlineStr">
        <is>
          <t>Vermilion</t>
        </is>
      </c>
      <c r="E148" t="inlineStr">
        <is>
          <t>pedestal</t>
        </is>
      </c>
      <c r="F148" t="inlineStr">
        <is>
          <t>HR.2</t>
        </is>
      </c>
      <c r="G148" t="inlineStr">
        <is>
          <t>6.17</t>
        </is>
      </c>
      <c r="H148" t="n">
        <v>61</v>
      </c>
      <c r="I148" t="n">
        <v>46.64</v>
      </c>
      <c r="J148" t="n">
        <v>38.02</v>
      </c>
      <c r="K148" t="n">
        <v>18.05</v>
      </c>
      <c r="L148">
        <f>ROUND(SQRT((I148-I128)^2+(J148-J128)^2+(K148-K128)^2),2)</f>
        <v/>
      </c>
      <c r="M148" t="inlineStr">
        <is>
          <t>measured</t>
        </is>
      </c>
    </row>
    <row r="149">
      <c r="A149" t="inlineStr">
        <is>
          <t>40C_10RH_chamber</t>
        </is>
      </c>
      <c r="B149" t="inlineStr">
        <is>
          <t>40 C / 10%RH (chamber arm)</t>
        </is>
      </c>
      <c r="C149" t="inlineStr">
        <is>
          <t>measured</t>
        </is>
      </c>
      <c r="D149" t="inlineStr">
        <is>
          <t>Vermilion</t>
        </is>
      </c>
      <c r="E149" t="inlineStr">
        <is>
          <t>pedestal</t>
        </is>
      </c>
      <c r="F149" t="inlineStr">
        <is>
          <t>HR.3</t>
        </is>
      </c>
      <c r="G149" t="inlineStr">
        <is>
          <t>4.17</t>
        </is>
      </c>
      <c r="H149" t="n">
        <v>0</v>
      </c>
      <c r="I149" t="n">
        <v>48.16</v>
      </c>
      <c r="J149" t="n">
        <v>35.74</v>
      </c>
      <c r="K149" t="n">
        <v>19.65</v>
      </c>
      <c r="L149" t="n">
        <v>0</v>
      </c>
      <c r="M149" t="inlineStr">
        <is>
          <t>measured</t>
        </is>
      </c>
    </row>
    <row r="150">
      <c r="A150" t="inlineStr">
        <is>
          <t>40C_10RH_chamber</t>
        </is>
      </c>
      <c r="B150" t="inlineStr">
        <is>
          <t>40 C / 10%RH (chamber arm)</t>
        </is>
      </c>
      <c r="C150" t="inlineStr">
        <is>
          <t>measured</t>
        </is>
      </c>
      <c r="D150" t="inlineStr">
        <is>
          <t>Vermilion</t>
        </is>
      </c>
      <c r="E150" t="inlineStr">
        <is>
          <t>pedestal</t>
        </is>
      </c>
      <c r="F150" t="inlineStr">
        <is>
          <t>HR.3</t>
        </is>
      </c>
      <c r="G150" t="inlineStr">
        <is>
          <t>4.20</t>
        </is>
      </c>
      <c r="H150" t="n">
        <v>3</v>
      </c>
      <c r="I150" t="n">
        <v>48.02</v>
      </c>
      <c r="J150" t="n">
        <v>35.91</v>
      </c>
      <c r="K150" t="n">
        <v>19.64</v>
      </c>
      <c r="L150">
        <f>ROUND(SQRT((I150-I149)^2+(J150-J149)^2+(K150-K149)^2),2)</f>
        <v/>
      </c>
      <c r="M150" t="inlineStr">
        <is>
          <t>measured</t>
        </is>
      </c>
    </row>
    <row r="151">
      <c r="A151" t="inlineStr">
        <is>
          <t>40C_10RH_chamber</t>
        </is>
      </c>
      <c r="B151" t="inlineStr">
        <is>
          <t>40 C / 10%RH (chamber arm)</t>
        </is>
      </c>
      <c r="C151" t="inlineStr">
        <is>
          <t>measured</t>
        </is>
      </c>
      <c r="D151" t="inlineStr">
        <is>
          <t>Vermilion</t>
        </is>
      </c>
      <c r="E151" t="inlineStr">
        <is>
          <t>pedestal</t>
        </is>
      </c>
      <c r="F151" t="inlineStr">
        <is>
          <t>HR.3</t>
        </is>
      </c>
      <c r="G151" t="inlineStr">
        <is>
          <t>4.23</t>
        </is>
      </c>
      <c r="H151" t="n">
        <v>6</v>
      </c>
      <c r="I151" t="n">
        <v>47.08</v>
      </c>
      <c r="J151" t="n">
        <v>35.37</v>
      </c>
      <c r="K151" t="n">
        <v>19.55</v>
      </c>
      <c r="L151">
        <f>ROUND(SQRT((I151-I149)^2+(J151-J149)^2+(K151-K149)^2),2)</f>
        <v/>
      </c>
      <c r="M151" t="inlineStr">
        <is>
          <t>measured</t>
        </is>
      </c>
    </row>
    <row r="152">
      <c r="A152" t="inlineStr">
        <is>
          <t>40C_10RH_chamber</t>
        </is>
      </c>
      <c r="B152" t="inlineStr">
        <is>
          <t>40 C / 10%RH (chamber arm)</t>
        </is>
      </c>
      <c r="C152" t="inlineStr">
        <is>
          <t>measured</t>
        </is>
      </c>
      <c r="D152" t="inlineStr">
        <is>
          <t>Vermilion</t>
        </is>
      </c>
      <c r="E152" t="inlineStr">
        <is>
          <t>pedestal</t>
        </is>
      </c>
      <c r="F152" t="inlineStr">
        <is>
          <t>HR.3</t>
        </is>
      </c>
      <c r="G152" t="inlineStr">
        <is>
          <t>4.26</t>
        </is>
      </c>
      <c r="H152" t="n">
        <v>9</v>
      </c>
      <c r="I152" t="n">
        <v>47.58</v>
      </c>
      <c r="J152" t="n">
        <v>36.73</v>
      </c>
      <c r="K152" t="n">
        <v>20.21</v>
      </c>
      <c r="L152">
        <f>ROUND(SQRT((I152-I149)^2+(J152-J149)^2+(K152-K149)^2),2)</f>
        <v/>
      </c>
      <c r="M152" t="inlineStr">
        <is>
          <t>measured</t>
        </is>
      </c>
    </row>
    <row r="153">
      <c r="A153" t="inlineStr">
        <is>
          <t>40C_10RH_chamber</t>
        </is>
      </c>
      <c r="B153" t="inlineStr">
        <is>
          <t>40 C / 10%RH (chamber arm)</t>
        </is>
      </c>
      <c r="C153" t="inlineStr">
        <is>
          <t>measured</t>
        </is>
      </c>
      <c r="D153" t="inlineStr">
        <is>
          <t>Vermilion</t>
        </is>
      </c>
      <c r="E153" t="inlineStr">
        <is>
          <t>pedestal</t>
        </is>
      </c>
      <c r="F153" t="inlineStr">
        <is>
          <t>HR.3</t>
        </is>
      </c>
      <c r="G153" t="inlineStr">
        <is>
          <t>4.29</t>
        </is>
      </c>
      <c r="H153" t="n">
        <v>12</v>
      </c>
      <c r="I153" t="n">
        <v>48.39</v>
      </c>
      <c r="J153" t="n">
        <v>37.03</v>
      </c>
      <c r="K153" t="n">
        <v>19.08</v>
      </c>
      <c r="L153">
        <f>ROUND(SQRT((I153-I149)^2+(J153-J149)^2+(K153-K149)^2),2)</f>
        <v/>
      </c>
      <c r="M153" t="inlineStr">
        <is>
          <t>measured</t>
        </is>
      </c>
    </row>
    <row r="154">
      <c r="A154" t="inlineStr">
        <is>
          <t>40C_10RH_chamber</t>
        </is>
      </c>
      <c r="B154" t="inlineStr">
        <is>
          <t>40 C / 10%RH (chamber arm)</t>
        </is>
      </c>
      <c r="C154" t="inlineStr">
        <is>
          <t>measured</t>
        </is>
      </c>
      <c r="D154" t="inlineStr">
        <is>
          <t>Vermilion</t>
        </is>
      </c>
      <c r="E154" t="inlineStr">
        <is>
          <t>pedestal</t>
        </is>
      </c>
      <c r="F154" t="inlineStr">
        <is>
          <t>HR.3</t>
        </is>
      </c>
      <c r="G154" t="inlineStr">
        <is>
          <t>5.02</t>
        </is>
      </c>
      <c r="H154" t="n">
        <v>15</v>
      </c>
      <c r="I154" t="n">
        <v>49.18</v>
      </c>
      <c r="J154" t="n">
        <v>36.31</v>
      </c>
      <c r="K154" t="n">
        <v>19.5</v>
      </c>
      <c r="L154">
        <f>ROUND(SQRT((I154-I149)^2+(J154-J149)^2+(K154-K149)^2),2)</f>
        <v/>
      </c>
      <c r="M154" t="inlineStr">
        <is>
          <t>measured</t>
        </is>
      </c>
    </row>
    <row r="155">
      <c r="A155" t="inlineStr">
        <is>
          <t>40C_10RH_chamber</t>
        </is>
      </c>
      <c r="B155" t="inlineStr">
        <is>
          <t>40 C / 10%RH (chamber arm)</t>
        </is>
      </c>
      <c r="C155" t="inlineStr">
        <is>
          <t>measured</t>
        </is>
      </c>
      <c r="D155" t="inlineStr">
        <is>
          <t>Vermilion</t>
        </is>
      </c>
      <c r="E155" t="inlineStr">
        <is>
          <t>pedestal</t>
        </is>
      </c>
      <c r="F155" t="inlineStr">
        <is>
          <t>HR.3</t>
        </is>
      </c>
      <c r="G155" t="inlineStr">
        <is>
          <t>5.05</t>
        </is>
      </c>
      <c r="H155" t="n">
        <v>18</v>
      </c>
      <c r="I155" t="n">
        <v>50.24</v>
      </c>
      <c r="J155" t="n">
        <v>36.69</v>
      </c>
      <c r="K155" t="n">
        <v>18.49</v>
      </c>
      <c r="L155">
        <f>ROUND(SQRT((I155-I149)^2+(J155-J149)^2+(K155-K149)^2),2)</f>
        <v/>
      </c>
      <c r="M155" t="inlineStr">
        <is>
          <t>measured</t>
        </is>
      </c>
    </row>
    <row r="156">
      <c r="A156" t="inlineStr">
        <is>
          <t>40C_10RH_chamber</t>
        </is>
      </c>
      <c r="B156" t="inlineStr">
        <is>
          <t>40 C / 10%RH (chamber arm)</t>
        </is>
      </c>
      <c r="C156" t="inlineStr">
        <is>
          <t>measured</t>
        </is>
      </c>
      <c r="D156" t="inlineStr">
        <is>
          <t>Vermilion</t>
        </is>
      </c>
      <c r="E156" t="inlineStr">
        <is>
          <t>pedestal</t>
        </is>
      </c>
      <c r="F156" t="inlineStr">
        <is>
          <t>HR.3</t>
        </is>
      </c>
      <c r="G156" t="inlineStr">
        <is>
          <t>5.08</t>
        </is>
      </c>
      <c r="H156" t="n">
        <v>21</v>
      </c>
      <c r="I156" t="n">
        <v>47.88</v>
      </c>
      <c r="J156" t="n">
        <v>36.93</v>
      </c>
      <c r="K156" t="n">
        <v>19.41</v>
      </c>
      <c r="L156">
        <f>ROUND(SQRT((I156-I149)^2+(J156-J149)^2+(K156-K149)^2),2)</f>
        <v/>
      </c>
      <c r="M156" t="inlineStr">
        <is>
          <t>measured</t>
        </is>
      </c>
    </row>
    <row r="157">
      <c r="A157" t="inlineStr">
        <is>
          <t>40C_10RH_chamber</t>
        </is>
      </c>
      <c r="B157" t="inlineStr">
        <is>
          <t>40 C / 10%RH (chamber arm)</t>
        </is>
      </c>
      <c r="C157" t="inlineStr">
        <is>
          <t>measured</t>
        </is>
      </c>
      <c r="D157" t="inlineStr">
        <is>
          <t>Vermilion</t>
        </is>
      </c>
      <c r="E157" t="inlineStr">
        <is>
          <t>pedestal</t>
        </is>
      </c>
      <c r="F157" t="inlineStr">
        <is>
          <t>HR.3</t>
        </is>
      </c>
      <c r="G157" t="inlineStr">
        <is>
          <t>5.11</t>
        </is>
      </c>
      <c r="H157" t="n">
        <v>24</v>
      </c>
      <c r="I157" t="n">
        <v>49.31</v>
      </c>
      <c r="J157" t="n">
        <v>36.89</v>
      </c>
      <c r="K157" t="n">
        <v>19.02</v>
      </c>
      <c r="L157">
        <f>ROUND(SQRT((I157-I149)^2+(J157-J149)^2+(K157-K149)^2),2)</f>
        <v/>
      </c>
      <c r="M157" t="inlineStr">
        <is>
          <t>measured</t>
        </is>
      </c>
    </row>
    <row r="158">
      <c r="A158" t="inlineStr">
        <is>
          <t>40C_10RH_chamber</t>
        </is>
      </c>
      <c r="B158" t="inlineStr">
        <is>
          <t>40 C / 10%RH (chamber arm)</t>
        </is>
      </c>
      <c r="C158" t="inlineStr">
        <is>
          <t>measured</t>
        </is>
      </c>
      <c r="D158" t="inlineStr">
        <is>
          <t>Vermilion</t>
        </is>
      </c>
      <c r="E158" t="inlineStr">
        <is>
          <t>pedestal</t>
        </is>
      </c>
      <c r="F158" t="inlineStr">
        <is>
          <t>HR.3</t>
        </is>
      </c>
      <c r="G158" t="inlineStr">
        <is>
          <t>5.12</t>
        </is>
      </c>
      <c r="H158" t="n">
        <v>25</v>
      </c>
      <c r="I158" t="n">
        <v>48.49</v>
      </c>
      <c r="J158" t="n">
        <v>36.55</v>
      </c>
      <c r="K158" t="n">
        <v>18.47</v>
      </c>
      <c r="L158">
        <f>ROUND(SQRT((I158-I149)^2+(J158-J149)^2+(K158-K149)^2),2)</f>
        <v/>
      </c>
      <c r="M158" t="inlineStr">
        <is>
          <t>measured</t>
        </is>
      </c>
    </row>
    <row r="159">
      <c r="A159" t="inlineStr">
        <is>
          <t>40C_10RH_chamber</t>
        </is>
      </c>
      <c r="B159" t="inlineStr">
        <is>
          <t>40 C / 10%RH (chamber arm)</t>
        </is>
      </c>
      <c r="C159" t="inlineStr">
        <is>
          <t>measured</t>
        </is>
      </c>
      <c r="D159" t="inlineStr">
        <is>
          <t>Vermilion</t>
        </is>
      </c>
      <c r="E159" t="inlineStr">
        <is>
          <t>pedestal</t>
        </is>
      </c>
      <c r="F159" t="inlineStr">
        <is>
          <t>HR.3</t>
        </is>
      </c>
      <c r="G159" t="inlineStr">
        <is>
          <t>5.14</t>
        </is>
      </c>
      <c r="H159" t="n">
        <v>27</v>
      </c>
      <c r="I159" t="n">
        <v>48.22</v>
      </c>
      <c r="J159" t="n">
        <v>36.57</v>
      </c>
      <c r="K159" t="n">
        <v>18.78</v>
      </c>
      <c r="L159">
        <f>ROUND(SQRT((I159-I149)^2+(J159-J149)^2+(K159-K149)^2),2)</f>
        <v/>
      </c>
      <c r="M159" t="inlineStr">
        <is>
          <t>measured</t>
        </is>
      </c>
    </row>
    <row r="160">
      <c r="A160" t="inlineStr">
        <is>
          <t>40C_10RH_chamber</t>
        </is>
      </c>
      <c r="B160" t="inlineStr">
        <is>
          <t>40 C / 10%RH (chamber arm)</t>
        </is>
      </c>
      <c r="C160" t="inlineStr">
        <is>
          <t>measured</t>
        </is>
      </c>
      <c r="D160" t="inlineStr">
        <is>
          <t>Vermilion</t>
        </is>
      </c>
      <c r="E160" t="inlineStr">
        <is>
          <t>pedestal</t>
        </is>
      </c>
      <c r="F160" t="inlineStr">
        <is>
          <t>HR.3</t>
        </is>
      </c>
      <c r="G160" t="inlineStr">
        <is>
          <t>5.18</t>
        </is>
      </c>
      <c r="H160" t="n">
        <v>31</v>
      </c>
      <c r="I160" t="n">
        <v>48.66</v>
      </c>
      <c r="J160" t="n">
        <v>36.57</v>
      </c>
      <c r="K160" t="n">
        <v>18.71</v>
      </c>
      <c r="L160">
        <f>ROUND(SQRT((I160-I149)^2+(J160-J149)^2+(K160-K149)^2),2)</f>
        <v/>
      </c>
      <c r="M160" t="inlineStr">
        <is>
          <t>measured</t>
        </is>
      </c>
    </row>
    <row r="161">
      <c r="A161" t="inlineStr">
        <is>
          <t>40C_10RH_chamber</t>
        </is>
      </c>
      <c r="B161" t="inlineStr">
        <is>
          <t>40 C / 10%RH (chamber arm)</t>
        </is>
      </c>
      <c r="C161" t="inlineStr">
        <is>
          <t>measured</t>
        </is>
      </c>
      <c r="D161" t="inlineStr">
        <is>
          <t>Vermilion</t>
        </is>
      </c>
      <c r="E161" t="inlineStr">
        <is>
          <t>pedestal</t>
        </is>
      </c>
      <c r="F161" t="inlineStr">
        <is>
          <t>HR.3</t>
        </is>
      </c>
      <c r="G161" t="inlineStr">
        <is>
          <t>5.21</t>
        </is>
      </c>
      <c r="H161" t="n">
        <v>34</v>
      </c>
      <c r="I161" t="n">
        <v>48.42</v>
      </c>
      <c r="J161" t="n">
        <v>35.48</v>
      </c>
      <c r="K161" t="n">
        <v>18.57</v>
      </c>
      <c r="L161">
        <f>ROUND(SQRT((I161-I149)^2+(J161-J149)^2+(K161-K149)^2),2)</f>
        <v/>
      </c>
      <c r="M161" t="inlineStr">
        <is>
          <t>measured</t>
        </is>
      </c>
    </row>
    <row r="162">
      <c r="A162" t="inlineStr">
        <is>
          <t>40C_10RH_chamber</t>
        </is>
      </c>
      <c r="B162" t="inlineStr">
        <is>
          <t>40 C / 10%RH (chamber arm)</t>
        </is>
      </c>
      <c r="C162" t="inlineStr">
        <is>
          <t>measured</t>
        </is>
      </c>
      <c r="D162" t="inlineStr">
        <is>
          <t>Vermilion</t>
        </is>
      </c>
      <c r="E162" t="inlineStr">
        <is>
          <t>pedestal</t>
        </is>
      </c>
      <c r="F162" t="inlineStr">
        <is>
          <t>HR.3</t>
        </is>
      </c>
      <c r="G162" t="inlineStr">
        <is>
          <t>5.24</t>
        </is>
      </c>
      <c r="H162" t="n">
        <v>37</v>
      </c>
      <c r="I162" t="n">
        <v>48.47</v>
      </c>
      <c r="J162" t="n">
        <v>36.79</v>
      </c>
      <c r="K162" t="n">
        <v>19.92</v>
      </c>
      <c r="L162">
        <f>ROUND(SQRT((I162-I149)^2+(J162-J149)^2+(K162-K149)^2),2)</f>
        <v/>
      </c>
      <c r="M162" t="inlineStr">
        <is>
          <t>measured</t>
        </is>
      </c>
    </row>
    <row r="163">
      <c r="A163" t="inlineStr">
        <is>
          <t>40C_10RH_chamber</t>
        </is>
      </c>
      <c r="B163" t="inlineStr">
        <is>
          <t>40 C / 10%RH (chamber arm)</t>
        </is>
      </c>
      <c r="C163" t="inlineStr">
        <is>
          <t>measured</t>
        </is>
      </c>
      <c r="D163" t="inlineStr">
        <is>
          <t>Vermilion</t>
        </is>
      </c>
      <c r="E163" t="inlineStr">
        <is>
          <t>pedestal</t>
        </is>
      </c>
      <c r="F163" t="inlineStr">
        <is>
          <t>HR.3</t>
        </is>
      </c>
      <c r="G163" t="inlineStr">
        <is>
          <t>5.28</t>
        </is>
      </c>
      <c r="H163" t="n">
        <v>41</v>
      </c>
      <c r="I163" t="n">
        <v>48.13</v>
      </c>
      <c r="J163" t="n">
        <v>35.41</v>
      </c>
      <c r="K163" t="n">
        <v>18.51</v>
      </c>
      <c r="L163">
        <f>ROUND(SQRT((I163-I149)^2+(J163-J149)^2+(K163-K149)^2),2)</f>
        <v/>
      </c>
      <c r="M163" t="inlineStr">
        <is>
          <t>measured</t>
        </is>
      </c>
    </row>
    <row r="164">
      <c r="A164" t="inlineStr">
        <is>
          <t>40C_10RH_chamber</t>
        </is>
      </c>
      <c r="B164" t="inlineStr">
        <is>
          <t>40 C / 10%RH (chamber arm)</t>
        </is>
      </c>
      <c r="C164" t="inlineStr">
        <is>
          <t>measured</t>
        </is>
      </c>
      <c r="D164" t="inlineStr">
        <is>
          <t>Vermilion</t>
        </is>
      </c>
      <c r="E164" t="inlineStr">
        <is>
          <t>pedestal</t>
        </is>
      </c>
      <c r="F164" t="inlineStr">
        <is>
          <t>HR.3</t>
        </is>
      </c>
      <c r="G164" t="inlineStr">
        <is>
          <t>5.31</t>
        </is>
      </c>
      <c r="H164" t="n">
        <v>44</v>
      </c>
      <c r="I164" t="n">
        <v>47.46</v>
      </c>
      <c r="J164" t="n">
        <v>35.84</v>
      </c>
      <c r="K164" t="n">
        <v>18.33</v>
      </c>
      <c r="L164">
        <f>ROUND(SQRT((I164-I149)^2+(J164-J149)^2+(K164-K149)^2),2)</f>
        <v/>
      </c>
      <c r="M164" t="inlineStr">
        <is>
          <t>measured</t>
        </is>
      </c>
    </row>
    <row r="165">
      <c r="A165" t="inlineStr">
        <is>
          <t>40C_10RH_chamber</t>
        </is>
      </c>
      <c r="B165" t="inlineStr">
        <is>
          <t>40 C / 10%RH (chamber arm)</t>
        </is>
      </c>
      <c r="C165" t="inlineStr">
        <is>
          <t>measured</t>
        </is>
      </c>
      <c r="D165" t="inlineStr">
        <is>
          <t>Vermilion</t>
        </is>
      </c>
      <c r="E165" t="inlineStr">
        <is>
          <t>pedestal</t>
        </is>
      </c>
      <c r="F165" t="inlineStr">
        <is>
          <t>HR.3</t>
        </is>
      </c>
      <c r="G165" t="inlineStr">
        <is>
          <t>6.03</t>
        </is>
      </c>
      <c r="H165" t="n">
        <v>47</v>
      </c>
      <c r="I165" t="n">
        <v>47.37</v>
      </c>
      <c r="J165" t="n">
        <v>37.36</v>
      </c>
      <c r="K165" t="n">
        <v>16.96</v>
      </c>
      <c r="L165">
        <f>ROUND(SQRT((I165-I149)^2+(J165-J149)^2+(K165-K149)^2),2)</f>
        <v/>
      </c>
      <c r="M165" t="inlineStr">
        <is>
          <t>measured</t>
        </is>
      </c>
    </row>
    <row r="166">
      <c r="A166" t="inlineStr">
        <is>
          <t>40C_10RH_chamber</t>
        </is>
      </c>
      <c r="B166" t="inlineStr">
        <is>
          <t>40 C / 10%RH (chamber arm)</t>
        </is>
      </c>
      <c r="C166" t="inlineStr">
        <is>
          <t>measured</t>
        </is>
      </c>
      <c r="D166" t="inlineStr">
        <is>
          <t>Vermilion</t>
        </is>
      </c>
      <c r="E166" t="inlineStr">
        <is>
          <t>pedestal</t>
        </is>
      </c>
      <c r="F166" t="inlineStr">
        <is>
          <t>HR.3</t>
        </is>
      </c>
      <c r="G166" t="inlineStr">
        <is>
          <t>6.06</t>
        </is>
      </c>
      <c r="H166" t="n">
        <v>50</v>
      </c>
      <c r="I166" t="n">
        <v>48.93</v>
      </c>
      <c r="J166" t="n">
        <v>37.08</v>
      </c>
      <c r="K166" t="n">
        <v>17.72</v>
      </c>
      <c r="L166">
        <f>ROUND(SQRT((I166-I149)^2+(J166-J149)^2+(K166-K149)^2),2)</f>
        <v/>
      </c>
      <c r="M166" t="inlineStr">
        <is>
          <t>measured</t>
        </is>
      </c>
    </row>
    <row r="167">
      <c r="A167" t="inlineStr">
        <is>
          <t>40C_10RH_chamber</t>
        </is>
      </c>
      <c r="B167" t="inlineStr">
        <is>
          <t>40 C / 10%RH (chamber arm)</t>
        </is>
      </c>
      <c r="C167" t="inlineStr">
        <is>
          <t>measured</t>
        </is>
      </c>
      <c r="D167" t="inlineStr">
        <is>
          <t>Vermilion</t>
        </is>
      </c>
      <c r="E167" t="inlineStr">
        <is>
          <t>pedestal</t>
        </is>
      </c>
      <c r="F167" t="inlineStr">
        <is>
          <t>HR.3</t>
        </is>
      </c>
      <c r="G167" t="inlineStr">
        <is>
          <t>6.09</t>
        </is>
      </c>
      <c r="H167" t="n">
        <v>53</v>
      </c>
      <c r="I167" t="n">
        <v>48.3</v>
      </c>
      <c r="J167" t="n">
        <v>37.58</v>
      </c>
      <c r="K167" t="n">
        <v>18.09</v>
      </c>
      <c r="L167">
        <f>ROUND(SQRT((I167-I149)^2+(J167-J149)^2+(K167-K149)^2),2)</f>
        <v/>
      </c>
      <c r="M167" t="inlineStr">
        <is>
          <t>measured</t>
        </is>
      </c>
    </row>
    <row r="168">
      <c r="A168" t="inlineStr">
        <is>
          <t>40C_10RH_chamber</t>
        </is>
      </c>
      <c r="B168" t="inlineStr">
        <is>
          <t>40 C / 10%RH (chamber arm)</t>
        </is>
      </c>
      <c r="C168" t="inlineStr">
        <is>
          <t>measured</t>
        </is>
      </c>
      <c r="D168" t="inlineStr">
        <is>
          <t>Vermilion</t>
        </is>
      </c>
      <c r="E168" t="inlineStr">
        <is>
          <t>pedestal</t>
        </is>
      </c>
      <c r="F168" t="inlineStr">
        <is>
          <t>HR.3</t>
        </is>
      </c>
      <c r="G168" t="inlineStr">
        <is>
          <t>6.13</t>
        </is>
      </c>
      <c r="H168" t="n">
        <v>57</v>
      </c>
      <c r="I168" t="n">
        <v>48.1</v>
      </c>
      <c r="J168" t="n">
        <v>36.4</v>
      </c>
      <c r="K168" t="n">
        <v>17.69</v>
      </c>
      <c r="L168">
        <f>ROUND(SQRT((I168-I149)^2+(J168-J149)^2+(K168-K149)^2),2)</f>
        <v/>
      </c>
      <c r="M168" t="inlineStr">
        <is>
          <t>measured</t>
        </is>
      </c>
    </row>
    <row r="169">
      <c r="A169" t="inlineStr">
        <is>
          <t>40C_10RH_chamber</t>
        </is>
      </c>
      <c r="B169" t="inlineStr">
        <is>
          <t>40 C / 10%RH (chamber arm)</t>
        </is>
      </c>
      <c r="C169" t="inlineStr">
        <is>
          <t>measured</t>
        </is>
      </c>
      <c r="D169" t="inlineStr">
        <is>
          <t>Vermilion</t>
        </is>
      </c>
      <c r="E169" t="inlineStr">
        <is>
          <t>pedestal</t>
        </is>
      </c>
      <c r="F169" t="inlineStr">
        <is>
          <t>HR.3</t>
        </is>
      </c>
      <c r="G169" t="inlineStr">
        <is>
          <t>6.17</t>
        </is>
      </c>
      <c r="H169" t="n">
        <v>61</v>
      </c>
      <c r="I169" t="n">
        <v>48.54</v>
      </c>
      <c r="J169" t="n">
        <v>35.85</v>
      </c>
      <c r="K169" t="n">
        <v>19.04</v>
      </c>
      <c r="L169">
        <f>ROUND(SQRT((I169-I149)^2+(J169-J149)^2+(K169-K149)^2),2)</f>
        <v/>
      </c>
      <c r="M169" t="inlineStr">
        <is>
          <t>measured</t>
        </is>
      </c>
    </row>
    <row r="170">
      <c r="A170" t="inlineStr">
        <is>
          <t>40C_10RH_chamber</t>
        </is>
      </c>
      <c r="B170" t="inlineStr">
        <is>
          <t>40 C / 10%RH (chamber arm)</t>
        </is>
      </c>
      <c r="C170" t="inlineStr">
        <is>
          <t>measured</t>
        </is>
      </c>
      <c r="D170" t="inlineStr">
        <is>
          <t>Vermilion</t>
        </is>
      </c>
      <c r="E170" t="inlineStr">
        <is>
          <t>block</t>
        </is>
      </c>
      <c r="F170" t="inlineStr">
        <is>
          <t>HTR.1</t>
        </is>
      </c>
      <c r="G170" t="inlineStr">
        <is>
          <t>4.17</t>
        </is>
      </c>
      <c r="H170" t="n">
        <v>0</v>
      </c>
      <c r="I170" t="n">
        <v>49.2</v>
      </c>
      <c r="J170" t="n">
        <v>36.1</v>
      </c>
      <c r="K170" t="n">
        <v>22.25</v>
      </c>
      <c r="L170" t="n">
        <v>0</v>
      </c>
      <c r="M170" t="inlineStr">
        <is>
          <t>measured</t>
        </is>
      </c>
    </row>
    <row r="171">
      <c r="A171" t="inlineStr">
        <is>
          <t>40C_10RH_chamber</t>
        </is>
      </c>
      <c r="B171" t="inlineStr">
        <is>
          <t>40 C / 10%RH (chamber arm)</t>
        </is>
      </c>
      <c r="C171" t="inlineStr">
        <is>
          <t>measured</t>
        </is>
      </c>
      <c r="D171" t="inlineStr">
        <is>
          <t>Vermilion</t>
        </is>
      </c>
      <c r="E171" t="inlineStr">
        <is>
          <t>block</t>
        </is>
      </c>
      <c r="F171" t="inlineStr">
        <is>
          <t>HTR.1</t>
        </is>
      </c>
      <c r="G171" t="inlineStr">
        <is>
          <t>4.20</t>
        </is>
      </c>
      <c r="H171" t="n">
        <v>3</v>
      </c>
      <c r="I171" t="n">
        <v>47.82</v>
      </c>
      <c r="J171" t="n">
        <v>37.46</v>
      </c>
      <c r="K171" t="n">
        <v>21.7</v>
      </c>
      <c r="L171">
        <f>ROUND(SQRT((I171-I170)^2+(J171-J170)^2+(K171-K170)^2),2)</f>
        <v/>
      </c>
      <c r="M171" t="inlineStr">
        <is>
          <t>measured</t>
        </is>
      </c>
    </row>
    <row r="172">
      <c r="A172" t="inlineStr">
        <is>
          <t>40C_10RH_chamber</t>
        </is>
      </c>
      <c r="B172" t="inlineStr">
        <is>
          <t>40 C / 10%RH (chamber arm)</t>
        </is>
      </c>
      <c r="C172" t="inlineStr">
        <is>
          <t>measured</t>
        </is>
      </c>
      <c r="D172" t="inlineStr">
        <is>
          <t>Vermilion</t>
        </is>
      </c>
      <c r="E172" t="inlineStr">
        <is>
          <t>block</t>
        </is>
      </c>
      <c r="F172" t="inlineStr">
        <is>
          <t>HTR.1</t>
        </is>
      </c>
      <c r="G172" t="inlineStr">
        <is>
          <t>4.23</t>
        </is>
      </c>
      <c r="H172" t="n">
        <v>6</v>
      </c>
      <c r="I172" t="n">
        <v>48.06</v>
      </c>
      <c r="J172" t="n">
        <v>35.33</v>
      </c>
      <c r="K172" t="n">
        <v>21.53</v>
      </c>
      <c r="L172">
        <f>ROUND(SQRT((I172-I170)^2+(J172-J170)^2+(K172-K170)^2),2)</f>
        <v/>
      </c>
      <c r="M172" t="inlineStr">
        <is>
          <t>measured</t>
        </is>
      </c>
    </row>
    <row r="173">
      <c r="A173" t="inlineStr">
        <is>
          <t>40C_10RH_chamber</t>
        </is>
      </c>
      <c r="B173" t="inlineStr">
        <is>
          <t>40 C / 10%RH (chamber arm)</t>
        </is>
      </c>
      <c r="C173" t="inlineStr">
        <is>
          <t>measured</t>
        </is>
      </c>
      <c r="D173" t="inlineStr">
        <is>
          <t>Vermilion</t>
        </is>
      </c>
      <c r="E173" t="inlineStr">
        <is>
          <t>block</t>
        </is>
      </c>
      <c r="F173" t="inlineStr">
        <is>
          <t>HTR.1</t>
        </is>
      </c>
      <c r="G173" t="inlineStr">
        <is>
          <t>4.26</t>
        </is>
      </c>
      <c r="H173" t="n">
        <v>9</v>
      </c>
      <c r="I173" t="n">
        <v>49.4</v>
      </c>
      <c r="J173" t="n">
        <v>36.48</v>
      </c>
      <c r="K173" t="n">
        <v>22.47</v>
      </c>
      <c r="L173">
        <f>ROUND(SQRT((I173-I170)^2+(J173-J170)^2+(K173-K170)^2),2)</f>
        <v/>
      </c>
      <c r="M173" t="inlineStr">
        <is>
          <t>measured</t>
        </is>
      </c>
    </row>
    <row r="174">
      <c r="A174" t="inlineStr">
        <is>
          <t>40C_10RH_chamber</t>
        </is>
      </c>
      <c r="B174" t="inlineStr">
        <is>
          <t>40 C / 10%RH (chamber arm)</t>
        </is>
      </c>
      <c r="C174" t="inlineStr">
        <is>
          <t>measured</t>
        </is>
      </c>
      <c r="D174" t="inlineStr">
        <is>
          <t>Vermilion</t>
        </is>
      </c>
      <c r="E174" t="inlineStr">
        <is>
          <t>block</t>
        </is>
      </c>
      <c r="F174" t="inlineStr">
        <is>
          <t>HTR.1</t>
        </is>
      </c>
      <c r="G174" t="inlineStr">
        <is>
          <t>4.29</t>
        </is>
      </c>
      <c r="H174" t="n">
        <v>12</v>
      </c>
      <c r="I174" t="n">
        <v>48.77</v>
      </c>
      <c r="J174" t="n">
        <v>34.72</v>
      </c>
      <c r="K174" t="n">
        <v>22.39</v>
      </c>
      <c r="L174">
        <f>ROUND(SQRT((I174-I170)^2+(J174-J170)^2+(K174-K170)^2),2)</f>
        <v/>
      </c>
      <c r="M174" t="inlineStr">
        <is>
          <t>measured</t>
        </is>
      </c>
    </row>
    <row r="175">
      <c r="A175" t="inlineStr">
        <is>
          <t>40C_10RH_chamber</t>
        </is>
      </c>
      <c r="B175" t="inlineStr">
        <is>
          <t>40 C / 10%RH (chamber arm)</t>
        </is>
      </c>
      <c r="C175" t="inlineStr">
        <is>
          <t>measured</t>
        </is>
      </c>
      <c r="D175" t="inlineStr">
        <is>
          <t>Vermilion</t>
        </is>
      </c>
      <c r="E175" t="inlineStr">
        <is>
          <t>block</t>
        </is>
      </c>
      <c r="F175" t="inlineStr">
        <is>
          <t>HTR.1</t>
        </is>
      </c>
      <c r="G175" t="inlineStr">
        <is>
          <t>5.02</t>
        </is>
      </c>
      <c r="H175" t="n">
        <v>15</v>
      </c>
      <c r="I175" t="n">
        <v>50.21</v>
      </c>
      <c r="J175" t="n">
        <v>35.2</v>
      </c>
      <c r="K175" t="n">
        <v>21.62</v>
      </c>
      <c r="L175">
        <f>ROUND(SQRT((I175-I170)^2+(J175-J170)^2+(K175-K170)^2),2)</f>
        <v/>
      </c>
      <c r="M175" t="inlineStr">
        <is>
          <t>measured</t>
        </is>
      </c>
    </row>
    <row r="176">
      <c r="A176" t="inlineStr">
        <is>
          <t>40C_10RH_chamber</t>
        </is>
      </c>
      <c r="B176" t="inlineStr">
        <is>
          <t>40 C / 10%RH (chamber arm)</t>
        </is>
      </c>
      <c r="C176" t="inlineStr">
        <is>
          <t>measured</t>
        </is>
      </c>
      <c r="D176" t="inlineStr">
        <is>
          <t>Vermilion</t>
        </is>
      </c>
      <c r="E176" t="inlineStr">
        <is>
          <t>block</t>
        </is>
      </c>
      <c r="F176" t="inlineStr">
        <is>
          <t>HTR.1</t>
        </is>
      </c>
      <c r="G176" t="inlineStr">
        <is>
          <t>5.05</t>
        </is>
      </c>
      <c r="H176" t="n">
        <v>18</v>
      </c>
      <c r="I176" t="n">
        <v>49.09</v>
      </c>
      <c r="J176" t="n">
        <v>36.87</v>
      </c>
      <c r="K176" t="n">
        <v>21.34</v>
      </c>
      <c r="L176">
        <f>ROUND(SQRT((I176-I170)^2+(J176-J170)^2+(K176-K170)^2),2)</f>
        <v/>
      </c>
      <c r="M176" t="inlineStr">
        <is>
          <t>measured</t>
        </is>
      </c>
    </row>
    <row r="177">
      <c r="A177" t="inlineStr">
        <is>
          <t>40C_10RH_chamber</t>
        </is>
      </c>
      <c r="B177" t="inlineStr">
        <is>
          <t>40 C / 10%RH (chamber arm)</t>
        </is>
      </c>
      <c r="C177" t="inlineStr">
        <is>
          <t>measured</t>
        </is>
      </c>
      <c r="D177" t="inlineStr">
        <is>
          <t>Vermilion</t>
        </is>
      </c>
      <c r="E177" t="inlineStr">
        <is>
          <t>block</t>
        </is>
      </c>
      <c r="F177" t="inlineStr">
        <is>
          <t>HTR.1</t>
        </is>
      </c>
      <c r="G177" t="inlineStr">
        <is>
          <t>5.08</t>
        </is>
      </c>
      <c r="H177" t="n">
        <v>21</v>
      </c>
      <c r="I177" t="n">
        <v>47.97</v>
      </c>
      <c r="J177" t="n">
        <v>35.58</v>
      </c>
      <c r="K177" t="n">
        <v>21.61</v>
      </c>
      <c r="L177">
        <f>ROUND(SQRT((I177-I170)^2+(J177-J170)^2+(K177-K170)^2),2)</f>
        <v/>
      </c>
      <c r="M177" t="inlineStr">
        <is>
          <t>measured</t>
        </is>
      </c>
    </row>
    <row r="178">
      <c r="A178" t="inlineStr">
        <is>
          <t>40C_10RH_chamber</t>
        </is>
      </c>
      <c r="B178" t="inlineStr">
        <is>
          <t>40 C / 10%RH (chamber arm)</t>
        </is>
      </c>
      <c r="C178" t="inlineStr">
        <is>
          <t>measured</t>
        </is>
      </c>
      <c r="D178" t="inlineStr">
        <is>
          <t>Vermilion</t>
        </is>
      </c>
      <c r="E178" t="inlineStr">
        <is>
          <t>block</t>
        </is>
      </c>
      <c r="F178" t="inlineStr">
        <is>
          <t>HTR.1</t>
        </is>
      </c>
      <c r="G178" t="inlineStr">
        <is>
          <t>5.11</t>
        </is>
      </c>
      <c r="H178" t="n">
        <v>24</v>
      </c>
      <c r="I178" t="n">
        <v>48.46</v>
      </c>
      <c r="J178" t="n">
        <v>36.3</v>
      </c>
      <c r="K178" t="n">
        <v>20.83</v>
      </c>
      <c r="L178">
        <f>ROUND(SQRT((I178-I170)^2+(J178-J170)^2+(K178-K170)^2),2)</f>
        <v/>
      </c>
      <c r="M178" t="inlineStr">
        <is>
          <t>measured</t>
        </is>
      </c>
    </row>
    <row r="179">
      <c r="A179" t="inlineStr">
        <is>
          <t>40C_10RH_chamber</t>
        </is>
      </c>
      <c r="B179" t="inlineStr">
        <is>
          <t>40 C / 10%RH (chamber arm)</t>
        </is>
      </c>
      <c r="C179" t="inlineStr">
        <is>
          <t>measured</t>
        </is>
      </c>
      <c r="D179" t="inlineStr">
        <is>
          <t>Vermilion</t>
        </is>
      </c>
      <c r="E179" t="inlineStr">
        <is>
          <t>block</t>
        </is>
      </c>
      <c r="F179" t="inlineStr">
        <is>
          <t>HTR.1</t>
        </is>
      </c>
      <c r="G179" t="inlineStr">
        <is>
          <t>5.12</t>
        </is>
      </c>
      <c r="H179" t="n">
        <v>25</v>
      </c>
      <c r="I179" t="n">
        <v>47.43</v>
      </c>
      <c r="J179" t="n">
        <v>35.86</v>
      </c>
      <c r="K179" t="n">
        <v>20.57</v>
      </c>
      <c r="L179">
        <f>ROUND(SQRT((I179-I170)^2+(J179-J170)^2+(K179-K170)^2),2)</f>
        <v/>
      </c>
      <c r="M179" t="inlineStr">
        <is>
          <t>measured</t>
        </is>
      </c>
    </row>
    <row r="180">
      <c r="A180" t="inlineStr">
        <is>
          <t>40C_10RH_chamber</t>
        </is>
      </c>
      <c r="B180" t="inlineStr">
        <is>
          <t>40 C / 10%RH (chamber arm)</t>
        </is>
      </c>
      <c r="C180" t="inlineStr">
        <is>
          <t>measured</t>
        </is>
      </c>
      <c r="D180" t="inlineStr">
        <is>
          <t>Vermilion</t>
        </is>
      </c>
      <c r="E180" t="inlineStr">
        <is>
          <t>block</t>
        </is>
      </c>
      <c r="F180" t="inlineStr">
        <is>
          <t>HTR.1</t>
        </is>
      </c>
      <c r="G180" t="inlineStr">
        <is>
          <t>5.14</t>
        </is>
      </c>
      <c r="H180" t="n">
        <v>27</v>
      </c>
      <c r="I180" t="n">
        <v>49.2</v>
      </c>
      <c r="J180" t="n">
        <v>35.59</v>
      </c>
      <c r="K180" t="n">
        <v>20.64</v>
      </c>
      <c r="L180">
        <f>ROUND(SQRT((I180-I170)^2+(J180-J170)^2+(K180-K170)^2),2)</f>
        <v/>
      </c>
      <c r="M180" t="inlineStr">
        <is>
          <t>measured</t>
        </is>
      </c>
    </row>
    <row r="181">
      <c r="A181" t="inlineStr">
        <is>
          <t>40C_10RH_chamber</t>
        </is>
      </c>
      <c r="B181" t="inlineStr">
        <is>
          <t>40 C / 10%RH (chamber arm)</t>
        </is>
      </c>
      <c r="C181" t="inlineStr">
        <is>
          <t>measured</t>
        </is>
      </c>
      <c r="D181" t="inlineStr">
        <is>
          <t>Vermilion</t>
        </is>
      </c>
      <c r="E181" t="inlineStr">
        <is>
          <t>block</t>
        </is>
      </c>
      <c r="F181" t="inlineStr">
        <is>
          <t>HTR.1</t>
        </is>
      </c>
      <c r="G181" t="inlineStr">
        <is>
          <t>5.18</t>
        </is>
      </c>
      <c r="H181" t="n">
        <v>31</v>
      </c>
      <c r="I181" t="n">
        <v>49.26</v>
      </c>
      <c r="J181" t="n">
        <v>36.55</v>
      </c>
      <c r="K181" t="n">
        <v>20.72</v>
      </c>
      <c r="L181">
        <f>ROUND(SQRT((I181-I170)^2+(J181-J170)^2+(K181-K170)^2),2)</f>
        <v/>
      </c>
      <c r="M181" t="inlineStr">
        <is>
          <t>measured</t>
        </is>
      </c>
    </row>
    <row r="182">
      <c r="A182" t="inlineStr">
        <is>
          <t>40C_10RH_chamber</t>
        </is>
      </c>
      <c r="B182" t="inlineStr">
        <is>
          <t>40 C / 10%RH (chamber arm)</t>
        </is>
      </c>
      <c r="C182" t="inlineStr">
        <is>
          <t>measured</t>
        </is>
      </c>
      <c r="D182" t="inlineStr">
        <is>
          <t>Vermilion</t>
        </is>
      </c>
      <c r="E182" t="inlineStr">
        <is>
          <t>block</t>
        </is>
      </c>
      <c r="F182" t="inlineStr">
        <is>
          <t>HTR.1</t>
        </is>
      </c>
      <c r="G182" t="inlineStr">
        <is>
          <t>5.21</t>
        </is>
      </c>
      <c r="H182" t="n">
        <v>34</v>
      </c>
      <c r="I182" t="n">
        <v>49.11</v>
      </c>
      <c r="J182" t="n">
        <v>35.38</v>
      </c>
      <c r="K182" t="n">
        <v>20.24</v>
      </c>
      <c r="L182">
        <f>ROUND(SQRT((I182-I170)^2+(J182-J170)^2+(K182-K170)^2),2)</f>
        <v/>
      </c>
      <c r="M182" t="inlineStr">
        <is>
          <t>measured</t>
        </is>
      </c>
    </row>
    <row r="183">
      <c r="A183" t="inlineStr">
        <is>
          <t>40C_10RH_chamber</t>
        </is>
      </c>
      <c r="B183" t="inlineStr">
        <is>
          <t>40 C / 10%RH (chamber arm)</t>
        </is>
      </c>
      <c r="C183" t="inlineStr">
        <is>
          <t>measured</t>
        </is>
      </c>
      <c r="D183" t="inlineStr">
        <is>
          <t>Vermilion</t>
        </is>
      </c>
      <c r="E183" t="inlineStr">
        <is>
          <t>block</t>
        </is>
      </c>
      <c r="F183" t="inlineStr">
        <is>
          <t>HTR.1</t>
        </is>
      </c>
      <c r="G183" t="inlineStr">
        <is>
          <t>5.24</t>
        </is>
      </c>
      <c r="H183" t="n">
        <v>37</v>
      </c>
      <c r="I183" t="n">
        <v>50.18</v>
      </c>
      <c r="J183" t="n">
        <v>34.25</v>
      </c>
      <c r="K183" t="n">
        <v>21.07</v>
      </c>
      <c r="L183">
        <f>ROUND(SQRT((I183-I170)^2+(J183-J170)^2+(K183-K170)^2),2)</f>
        <v/>
      </c>
      <c r="M183" t="inlineStr">
        <is>
          <t>measured</t>
        </is>
      </c>
    </row>
    <row r="184">
      <c r="A184" t="inlineStr">
        <is>
          <t>40C_10RH_chamber</t>
        </is>
      </c>
      <c r="B184" t="inlineStr">
        <is>
          <t>40 C / 10%RH (chamber arm)</t>
        </is>
      </c>
      <c r="C184" t="inlineStr">
        <is>
          <t>measured</t>
        </is>
      </c>
      <c r="D184" t="inlineStr">
        <is>
          <t>Vermilion</t>
        </is>
      </c>
      <c r="E184" t="inlineStr">
        <is>
          <t>block</t>
        </is>
      </c>
      <c r="F184" t="inlineStr">
        <is>
          <t>HTR.1</t>
        </is>
      </c>
      <c r="G184" t="inlineStr">
        <is>
          <t>5.28</t>
        </is>
      </c>
      <c r="H184" t="n">
        <v>41</v>
      </c>
      <c r="I184" t="n">
        <v>50.29</v>
      </c>
      <c r="J184" t="n">
        <v>34.88</v>
      </c>
      <c r="K184" t="n">
        <v>21.32</v>
      </c>
      <c r="L184">
        <f>ROUND(SQRT((I184-I170)^2+(J184-J170)^2+(K184-K170)^2),2)</f>
        <v/>
      </c>
      <c r="M184" t="inlineStr">
        <is>
          <t>measured</t>
        </is>
      </c>
    </row>
    <row r="185">
      <c r="A185" t="inlineStr">
        <is>
          <t>40C_10RH_chamber</t>
        </is>
      </c>
      <c r="B185" t="inlineStr">
        <is>
          <t>40 C / 10%RH (chamber arm)</t>
        </is>
      </c>
      <c r="C185" t="inlineStr">
        <is>
          <t>measured</t>
        </is>
      </c>
      <c r="D185" t="inlineStr">
        <is>
          <t>Vermilion</t>
        </is>
      </c>
      <c r="E185" t="inlineStr">
        <is>
          <t>block</t>
        </is>
      </c>
      <c r="F185" t="inlineStr">
        <is>
          <t>HTR.1</t>
        </is>
      </c>
      <c r="G185" t="inlineStr">
        <is>
          <t>5.31</t>
        </is>
      </c>
      <c r="H185" t="n">
        <v>44</v>
      </c>
      <c r="I185" t="n">
        <v>49.35</v>
      </c>
      <c r="J185" t="n">
        <v>35.78</v>
      </c>
      <c r="K185" t="n">
        <v>19.6</v>
      </c>
      <c r="L185">
        <f>ROUND(SQRT((I185-I170)^2+(J185-J170)^2+(K185-K170)^2),2)</f>
        <v/>
      </c>
      <c r="M185" t="inlineStr">
        <is>
          <t>measured</t>
        </is>
      </c>
    </row>
    <row r="186">
      <c r="A186" t="inlineStr">
        <is>
          <t>40C_10RH_chamber</t>
        </is>
      </c>
      <c r="B186" t="inlineStr">
        <is>
          <t>40 C / 10%RH (chamber arm)</t>
        </is>
      </c>
      <c r="C186" t="inlineStr">
        <is>
          <t>measured</t>
        </is>
      </c>
      <c r="D186" t="inlineStr">
        <is>
          <t>Vermilion</t>
        </is>
      </c>
      <c r="E186" t="inlineStr">
        <is>
          <t>block</t>
        </is>
      </c>
      <c r="F186" t="inlineStr">
        <is>
          <t>HTR.1</t>
        </is>
      </c>
      <c r="G186" t="inlineStr">
        <is>
          <t>6.03</t>
        </is>
      </c>
      <c r="H186" t="n">
        <v>47</v>
      </c>
      <c r="I186" t="n">
        <v>47.99</v>
      </c>
      <c r="J186" t="n">
        <v>35.62</v>
      </c>
      <c r="K186" t="n">
        <v>20.62</v>
      </c>
      <c r="L186">
        <f>ROUND(SQRT((I186-I170)^2+(J186-J170)^2+(K186-K170)^2),2)</f>
        <v/>
      </c>
      <c r="M186" t="inlineStr">
        <is>
          <t>measured</t>
        </is>
      </c>
    </row>
    <row r="187">
      <c r="A187" t="inlineStr">
        <is>
          <t>40C_10RH_chamber</t>
        </is>
      </c>
      <c r="B187" t="inlineStr">
        <is>
          <t>40 C / 10%RH (chamber arm)</t>
        </is>
      </c>
      <c r="C187" t="inlineStr">
        <is>
          <t>measured</t>
        </is>
      </c>
      <c r="D187" t="inlineStr">
        <is>
          <t>Vermilion</t>
        </is>
      </c>
      <c r="E187" t="inlineStr">
        <is>
          <t>block</t>
        </is>
      </c>
      <c r="F187" t="inlineStr">
        <is>
          <t>HTR.1</t>
        </is>
      </c>
      <c r="G187" t="inlineStr">
        <is>
          <t>6.06</t>
        </is>
      </c>
      <c r="H187" t="n">
        <v>50</v>
      </c>
      <c r="I187" t="n">
        <v>49.94</v>
      </c>
      <c r="J187" t="n">
        <v>34.2</v>
      </c>
      <c r="K187" t="n">
        <v>20.35</v>
      </c>
      <c r="L187">
        <f>ROUND(SQRT((I187-I170)^2+(J187-J170)^2+(K187-K170)^2),2)</f>
        <v/>
      </c>
      <c r="M187" t="inlineStr">
        <is>
          <t>measured</t>
        </is>
      </c>
    </row>
    <row r="188">
      <c r="A188" t="inlineStr">
        <is>
          <t>40C_10RH_chamber</t>
        </is>
      </c>
      <c r="B188" t="inlineStr">
        <is>
          <t>40 C / 10%RH (chamber arm)</t>
        </is>
      </c>
      <c r="C188" t="inlineStr">
        <is>
          <t>measured</t>
        </is>
      </c>
      <c r="D188" t="inlineStr">
        <is>
          <t>Vermilion</t>
        </is>
      </c>
      <c r="E188" t="inlineStr">
        <is>
          <t>block</t>
        </is>
      </c>
      <c r="F188" t="inlineStr">
        <is>
          <t>HTR.1</t>
        </is>
      </c>
      <c r="G188" t="inlineStr">
        <is>
          <t>6.09</t>
        </is>
      </c>
      <c r="H188" t="n">
        <v>53</v>
      </c>
      <c r="I188" t="n">
        <v>49.91</v>
      </c>
      <c r="J188" t="n">
        <v>34.74</v>
      </c>
      <c r="K188" t="n">
        <v>20.64</v>
      </c>
      <c r="L188">
        <f>ROUND(SQRT((I188-I170)^2+(J188-J170)^2+(K188-K170)^2),2)</f>
        <v/>
      </c>
      <c r="M188" t="inlineStr">
        <is>
          <t>measured</t>
        </is>
      </c>
    </row>
    <row r="189">
      <c r="A189" t="inlineStr">
        <is>
          <t>40C_10RH_chamber</t>
        </is>
      </c>
      <c r="B189" t="inlineStr">
        <is>
          <t>40 C / 10%RH (chamber arm)</t>
        </is>
      </c>
      <c r="C189" t="inlineStr">
        <is>
          <t>measured</t>
        </is>
      </c>
      <c r="D189" t="inlineStr">
        <is>
          <t>Vermilion</t>
        </is>
      </c>
      <c r="E189" t="inlineStr">
        <is>
          <t>block</t>
        </is>
      </c>
      <c r="F189" t="inlineStr">
        <is>
          <t>HTR.1</t>
        </is>
      </c>
      <c r="G189" t="inlineStr">
        <is>
          <t>6.13</t>
        </is>
      </c>
      <c r="H189" t="n">
        <v>57</v>
      </c>
      <c r="I189" t="n">
        <v>49.76</v>
      </c>
      <c r="J189" t="n">
        <v>34.78</v>
      </c>
      <c r="K189" t="n">
        <v>20.25</v>
      </c>
      <c r="L189">
        <f>ROUND(SQRT((I189-I170)^2+(J189-J170)^2+(K189-K170)^2),2)</f>
        <v/>
      </c>
      <c r="M189" t="inlineStr">
        <is>
          <t>measured</t>
        </is>
      </c>
    </row>
    <row r="190">
      <c r="A190" t="inlineStr">
        <is>
          <t>40C_10RH_chamber</t>
        </is>
      </c>
      <c r="B190" t="inlineStr">
        <is>
          <t>40 C / 10%RH (chamber arm)</t>
        </is>
      </c>
      <c r="C190" t="inlineStr">
        <is>
          <t>measured</t>
        </is>
      </c>
      <c r="D190" t="inlineStr">
        <is>
          <t>Vermilion</t>
        </is>
      </c>
      <c r="E190" t="inlineStr">
        <is>
          <t>block</t>
        </is>
      </c>
      <c r="F190" t="inlineStr">
        <is>
          <t>HTR.1</t>
        </is>
      </c>
      <c r="G190" t="inlineStr">
        <is>
          <t>6.17</t>
        </is>
      </c>
      <c r="H190" t="n">
        <v>61</v>
      </c>
      <c r="I190" t="n">
        <v>50.26</v>
      </c>
      <c r="J190" t="n">
        <v>34.86</v>
      </c>
      <c r="K190" t="n">
        <v>19.11</v>
      </c>
      <c r="L190">
        <f>ROUND(SQRT((I190-I170)^2+(J190-J170)^2+(K190-K170)^2),2)</f>
        <v/>
      </c>
      <c r="M190" t="inlineStr">
        <is>
          <t>measured</t>
        </is>
      </c>
    </row>
    <row r="191">
      <c r="A191" t="inlineStr">
        <is>
          <t>40C_10RH_chamber</t>
        </is>
      </c>
      <c r="B191" t="inlineStr">
        <is>
          <t>40 C / 10%RH (chamber arm)</t>
        </is>
      </c>
      <c r="C191" t="inlineStr">
        <is>
          <t>measured</t>
        </is>
      </c>
      <c r="D191" t="inlineStr">
        <is>
          <t>Vermilion</t>
        </is>
      </c>
      <c r="E191" t="inlineStr">
        <is>
          <t>block</t>
        </is>
      </c>
      <c r="F191" t="inlineStr">
        <is>
          <t>HTR.2</t>
        </is>
      </c>
      <c r="G191" t="inlineStr">
        <is>
          <t>4.17</t>
        </is>
      </c>
      <c r="H191" t="n">
        <v>0</v>
      </c>
      <c r="I191" t="n">
        <v>51.68</v>
      </c>
      <c r="J191" t="n">
        <v>34.77</v>
      </c>
      <c r="K191" t="n">
        <v>21.18</v>
      </c>
      <c r="L191" t="n">
        <v>0</v>
      </c>
      <c r="M191" t="inlineStr">
        <is>
          <t>measured</t>
        </is>
      </c>
    </row>
    <row r="192">
      <c r="A192" t="inlineStr">
        <is>
          <t>40C_10RH_chamber</t>
        </is>
      </c>
      <c r="B192" t="inlineStr">
        <is>
          <t>40 C / 10%RH (chamber arm)</t>
        </is>
      </c>
      <c r="C192" t="inlineStr">
        <is>
          <t>measured</t>
        </is>
      </c>
      <c r="D192" t="inlineStr">
        <is>
          <t>Vermilion</t>
        </is>
      </c>
      <c r="E192" t="inlineStr">
        <is>
          <t>block</t>
        </is>
      </c>
      <c r="F192" t="inlineStr">
        <is>
          <t>HTR.2</t>
        </is>
      </c>
      <c r="G192" t="inlineStr">
        <is>
          <t>4.20</t>
        </is>
      </c>
      <c r="H192" t="n">
        <v>3</v>
      </c>
      <c r="I192" t="n">
        <v>51.74</v>
      </c>
      <c r="J192" t="n">
        <v>34.84</v>
      </c>
      <c r="K192" t="n">
        <v>21.35</v>
      </c>
      <c r="L192">
        <f>ROUND(SQRT((I192-I191)^2+(J192-J191)^2+(K192-K191)^2),2)</f>
        <v/>
      </c>
      <c r="M192" t="inlineStr">
        <is>
          <t>measured</t>
        </is>
      </c>
    </row>
    <row r="193">
      <c r="A193" t="inlineStr">
        <is>
          <t>40C_10RH_chamber</t>
        </is>
      </c>
      <c r="B193" t="inlineStr">
        <is>
          <t>40 C / 10%RH (chamber arm)</t>
        </is>
      </c>
      <c r="C193" t="inlineStr">
        <is>
          <t>measured</t>
        </is>
      </c>
      <c r="D193" t="inlineStr">
        <is>
          <t>Vermilion</t>
        </is>
      </c>
      <c r="E193" t="inlineStr">
        <is>
          <t>block</t>
        </is>
      </c>
      <c r="F193" t="inlineStr">
        <is>
          <t>HTR.2</t>
        </is>
      </c>
      <c r="G193" t="inlineStr">
        <is>
          <t>4.23</t>
        </is>
      </c>
      <c r="H193" t="n">
        <v>6</v>
      </c>
      <c r="I193" t="n">
        <v>52.47</v>
      </c>
      <c r="J193" t="n">
        <v>35.68</v>
      </c>
      <c r="K193" t="n">
        <v>20.53</v>
      </c>
      <c r="L193">
        <f>ROUND(SQRT((I193-I191)^2+(J193-J191)^2+(K193-K191)^2),2)</f>
        <v/>
      </c>
      <c r="M193" t="inlineStr">
        <is>
          <t>measured</t>
        </is>
      </c>
    </row>
    <row r="194">
      <c r="A194" t="inlineStr">
        <is>
          <t>40C_10RH_chamber</t>
        </is>
      </c>
      <c r="B194" t="inlineStr">
        <is>
          <t>40 C / 10%RH (chamber arm)</t>
        </is>
      </c>
      <c r="C194" t="inlineStr">
        <is>
          <t>measured</t>
        </is>
      </c>
      <c r="D194" t="inlineStr">
        <is>
          <t>Vermilion</t>
        </is>
      </c>
      <c r="E194" t="inlineStr">
        <is>
          <t>block</t>
        </is>
      </c>
      <c r="F194" t="inlineStr">
        <is>
          <t>HTR.2</t>
        </is>
      </c>
      <c r="G194" t="inlineStr">
        <is>
          <t>4.26</t>
        </is>
      </c>
      <c r="H194" t="n">
        <v>9</v>
      </c>
      <c r="I194" t="n">
        <v>50.24</v>
      </c>
      <c r="J194" t="n">
        <v>33.74</v>
      </c>
      <c r="K194" t="n">
        <v>21.4</v>
      </c>
      <c r="L194">
        <f>ROUND(SQRT((I194-I191)^2+(J194-J191)^2+(K194-K191)^2),2)</f>
        <v/>
      </c>
      <c r="M194" t="inlineStr">
        <is>
          <t>measured</t>
        </is>
      </c>
    </row>
    <row r="195">
      <c r="A195" t="inlineStr">
        <is>
          <t>40C_10RH_chamber</t>
        </is>
      </c>
      <c r="B195" t="inlineStr">
        <is>
          <t>40 C / 10%RH (chamber arm)</t>
        </is>
      </c>
      <c r="C195" t="inlineStr">
        <is>
          <t>measured</t>
        </is>
      </c>
      <c r="D195" t="inlineStr">
        <is>
          <t>Vermilion</t>
        </is>
      </c>
      <c r="E195" t="inlineStr">
        <is>
          <t>block</t>
        </is>
      </c>
      <c r="F195" t="inlineStr">
        <is>
          <t>HTR.2</t>
        </is>
      </c>
      <c r="G195" t="inlineStr">
        <is>
          <t>4.29</t>
        </is>
      </c>
      <c r="H195" t="n">
        <v>12</v>
      </c>
      <c r="I195" t="n">
        <v>52.07</v>
      </c>
      <c r="J195" t="n">
        <v>34.35</v>
      </c>
      <c r="K195" t="n">
        <v>20.97</v>
      </c>
      <c r="L195">
        <f>ROUND(SQRT((I195-I191)^2+(J195-J191)^2+(K195-K191)^2),2)</f>
        <v/>
      </c>
      <c r="M195" t="inlineStr">
        <is>
          <t>measured</t>
        </is>
      </c>
    </row>
    <row r="196">
      <c r="A196" t="inlineStr">
        <is>
          <t>40C_10RH_chamber</t>
        </is>
      </c>
      <c r="B196" t="inlineStr">
        <is>
          <t>40 C / 10%RH (chamber arm)</t>
        </is>
      </c>
      <c r="C196" t="inlineStr">
        <is>
          <t>measured</t>
        </is>
      </c>
      <c r="D196" t="inlineStr">
        <is>
          <t>Vermilion</t>
        </is>
      </c>
      <c r="E196" t="inlineStr">
        <is>
          <t>block</t>
        </is>
      </c>
      <c r="F196" t="inlineStr">
        <is>
          <t>HTR.2</t>
        </is>
      </c>
      <c r="G196" t="inlineStr">
        <is>
          <t>5.02</t>
        </is>
      </c>
      <c r="H196" t="n">
        <v>15</v>
      </c>
      <c r="I196" t="n">
        <v>52.7</v>
      </c>
      <c r="J196" t="n">
        <v>35.09</v>
      </c>
      <c r="K196" t="n">
        <v>21.41</v>
      </c>
      <c r="L196">
        <f>ROUND(SQRT((I196-I191)^2+(J196-J191)^2+(K196-K191)^2),2)</f>
        <v/>
      </c>
      <c r="M196" t="inlineStr">
        <is>
          <t>measured</t>
        </is>
      </c>
    </row>
    <row r="197">
      <c r="A197" t="inlineStr">
        <is>
          <t>40C_10RH_chamber</t>
        </is>
      </c>
      <c r="B197" t="inlineStr">
        <is>
          <t>40 C / 10%RH (chamber arm)</t>
        </is>
      </c>
      <c r="C197" t="inlineStr">
        <is>
          <t>measured</t>
        </is>
      </c>
      <c r="D197" t="inlineStr">
        <is>
          <t>Vermilion</t>
        </is>
      </c>
      <c r="E197" t="inlineStr">
        <is>
          <t>block</t>
        </is>
      </c>
      <c r="F197" t="inlineStr">
        <is>
          <t>HTR.2</t>
        </is>
      </c>
      <c r="G197" t="inlineStr">
        <is>
          <t>5.05</t>
        </is>
      </c>
      <c r="H197" t="n">
        <v>18</v>
      </c>
      <c r="I197" t="n">
        <v>51.79</v>
      </c>
      <c r="J197" t="n">
        <v>35.09</v>
      </c>
      <c r="K197" t="n">
        <v>21.64</v>
      </c>
      <c r="L197">
        <f>ROUND(SQRT((I197-I191)^2+(J197-J191)^2+(K197-K191)^2),2)</f>
        <v/>
      </c>
      <c r="M197" t="inlineStr">
        <is>
          <t>measured</t>
        </is>
      </c>
    </row>
    <row r="198">
      <c r="A198" t="inlineStr">
        <is>
          <t>40C_10RH_chamber</t>
        </is>
      </c>
      <c r="B198" t="inlineStr">
        <is>
          <t>40 C / 10%RH (chamber arm)</t>
        </is>
      </c>
      <c r="C198" t="inlineStr">
        <is>
          <t>measured</t>
        </is>
      </c>
      <c r="D198" t="inlineStr">
        <is>
          <t>Vermilion</t>
        </is>
      </c>
      <c r="E198" t="inlineStr">
        <is>
          <t>block</t>
        </is>
      </c>
      <c r="F198" t="inlineStr">
        <is>
          <t>HTR.2</t>
        </is>
      </c>
      <c r="G198" t="inlineStr">
        <is>
          <t>5.08</t>
        </is>
      </c>
      <c r="H198" t="n">
        <v>21</v>
      </c>
      <c r="I198" t="n">
        <v>52.32</v>
      </c>
      <c r="J198" t="n">
        <v>33.11</v>
      </c>
      <c r="K198" t="n">
        <v>20.89</v>
      </c>
      <c r="L198">
        <f>ROUND(SQRT((I198-I191)^2+(J198-J191)^2+(K198-K191)^2),2)</f>
        <v/>
      </c>
      <c r="M198" t="inlineStr">
        <is>
          <t>measured</t>
        </is>
      </c>
    </row>
    <row r="199">
      <c r="A199" t="inlineStr">
        <is>
          <t>40C_10RH_chamber</t>
        </is>
      </c>
      <c r="B199" t="inlineStr">
        <is>
          <t>40 C / 10%RH (chamber arm)</t>
        </is>
      </c>
      <c r="C199" t="inlineStr">
        <is>
          <t>measured</t>
        </is>
      </c>
      <c r="D199" t="inlineStr">
        <is>
          <t>Vermilion</t>
        </is>
      </c>
      <c r="E199" t="inlineStr">
        <is>
          <t>block</t>
        </is>
      </c>
      <c r="F199" t="inlineStr">
        <is>
          <t>HTR.2</t>
        </is>
      </c>
      <c r="G199" t="inlineStr">
        <is>
          <t>5.11</t>
        </is>
      </c>
      <c r="H199" t="n">
        <v>24</v>
      </c>
      <c r="I199" t="n">
        <v>51.48</v>
      </c>
      <c r="J199" t="n">
        <v>33.8</v>
      </c>
      <c r="K199" t="n">
        <v>21.49</v>
      </c>
      <c r="L199">
        <f>ROUND(SQRT((I199-I191)^2+(J199-J191)^2+(K199-K191)^2),2)</f>
        <v/>
      </c>
      <c r="M199" t="inlineStr">
        <is>
          <t>measured</t>
        </is>
      </c>
    </row>
    <row r="200">
      <c r="A200" t="inlineStr">
        <is>
          <t>40C_10RH_chamber</t>
        </is>
      </c>
      <c r="B200" t="inlineStr">
        <is>
          <t>40 C / 10%RH (chamber arm)</t>
        </is>
      </c>
      <c r="C200" t="inlineStr">
        <is>
          <t>measured</t>
        </is>
      </c>
      <c r="D200" t="inlineStr">
        <is>
          <t>Vermilion</t>
        </is>
      </c>
      <c r="E200" t="inlineStr">
        <is>
          <t>block</t>
        </is>
      </c>
      <c r="F200" t="inlineStr">
        <is>
          <t>HTR.2</t>
        </is>
      </c>
      <c r="G200" t="inlineStr">
        <is>
          <t>5.12</t>
        </is>
      </c>
      <c r="H200" t="n">
        <v>25</v>
      </c>
      <c r="I200" t="n">
        <v>51.9</v>
      </c>
      <c r="J200" t="n">
        <v>34.93</v>
      </c>
      <c r="K200" t="n">
        <v>19.04</v>
      </c>
      <c r="L200">
        <f>ROUND(SQRT((I200-I191)^2+(J200-J191)^2+(K200-K191)^2),2)</f>
        <v/>
      </c>
      <c r="M200" t="inlineStr">
        <is>
          <t>measured</t>
        </is>
      </c>
    </row>
    <row r="201">
      <c r="A201" t="inlineStr">
        <is>
          <t>40C_10RH_chamber</t>
        </is>
      </c>
      <c r="B201" t="inlineStr">
        <is>
          <t>40 C / 10%RH (chamber arm)</t>
        </is>
      </c>
      <c r="C201" t="inlineStr">
        <is>
          <t>measured</t>
        </is>
      </c>
      <c r="D201" t="inlineStr">
        <is>
          <t>Vermilion</t>
        </is>
      </c>
      <c r="E201" t="inlineStr">
        <is>
          <t>block</t>
        </is>
      </c>
      <c r="F201" t="inlineStr">
        <is>
          <t>HTR.2</t>
        </is>
      </c>
      <c r="G201" t="inlineStr">
        <is>
          <t>5.14</t>
        </is>
      </c>
      <c r="H201" t="n">
        <v>27</v>
      </c>
      <c r="I201" t="n">
        <v>50.88</v>
      </c>
      <c r="J201" t="n">
        <v>34.28</v>
      </c>
      <c r="K201" t="n">
        <v>21.75</v>
      </c>
      <c r="L201">
        <f>ROUND(SQRT((I201-I191)^2+(J201-J191)^2+(K201-K191)^2),2)</f>
        <v/>
      </c>
      <c r="M201" t="inlineStr">
        <is>
          <t>measured</t>
        </is>
      </c>
    </row>
    <row r="202">
      <c r="A202" t="inlineStr">
        <is>
          <t>40C_10RH_chamber</t>
        </is>
      </c>
      <c r="B202" t="inlineStr">
        <is>
          <t>40 C / 10%RH (chamber arm)</t>
        </is>
      </c>
      <c r="C202" t="inlineStr">
        <is>
          <t>measured</t>
        </is>
      </c>
      <c r="D202" t="inlineStr">
        <is>
          <t>Vermilion</t>
        </is>
      </c>
      <c r="E202" t="inlineStr">
        <is>
          <t>block</t>
        </is>
      </c>
      <c r="F202" t="inlineStr">
        <is>
          <t>HTR.2</t>
        </is>
      </c>
      <c r="G202" t="inlineStr">
        <is>
          <t>5.18</t>
        </is>
      </c>
      <c r="H202" t="n">
        <v>31</v>
      </c>
      <c r="I202" t="n">
        <v>50.42</v>
      </c>
      <c r="J202" t="n">
        <v>33.93</v>
      </c>
      <c r="K202" t="n">
        <v>20.82</v>
      </c>
      <c r="L202">
        <f>ROUND(SQRT((I202-I191)^2+(J202-J191)^2+(K202-K191)^2),2)</f>
        <v/>
      </c>
      <c r="M202" t="inlineStr">
        <is>
          <t>measured</t>
        </is>
      </c>
    </row>
    <row r="203">
      <c r="A203" t="inlineStr">
        <is>
          <t>40C_10RH_chamber</t>
        </is>
      </c>
      <c r="B203" t="inlineStr">
        <is>
          <t>40 C / 10%RH (chamber arm)</t>
        </is>
      </c>
      <c r="C203" t="inlineStr">
        <is>
          <t>measured</t>
        </is>
      </c>
      <c r="D203" t="inlineStr">
        <is>
          <t>Vermilion</t>
        </is>
      </c>
      <c r="E203" t="inlineStr">
        <is>
          <t>block</t>
        </is>
      </c>
      <c r="F203" t="inlineStr">
        <is>
          <t>HTR.2</t>
        </is>
      </c>
      <c r="G203" t="inlineStr">
        <is>
          <t>5.21</t>
        </is>
      </c>
      <c r="H203" t="n">
        <v>34</v>
      </c>
      <c r="I203" t="n">
        <v>52.76</v>
      </c>
      <c r="J203" t="n">
        <v>33.55</v>
      </c>
      <c r="K203" t="n">
        <v>21.25</v>
      </c>
      <c r="L203">
        <f>ROUND(SQRT((I203-I191)^2+(J203-J191)^2+(K203-K191)^2),2)</f>
        <v/>
      </c>
      <c r="M203" t="inlineStr">
        <is>
          <t>measured</t>
        </is>
      </c>
    </row>
    <row r="204">
      <c r="A204" t="inlineStr">
        <is>
          <t>40C_10RH_chamber</t>
        </is>
      </c>
      <c r="B204" t="inlineStr">
        <is>
          <t>40 C / 10%RH (chamber arm)</t>
        </is>
      </c>
      <c r="C204" t="inlineStr">
        <is>
          <t>measured</t>
        </is>
      </c>
      <c r="D204" t="inlineStr">
        <is>
          <t>Vermilion</t>
        </is>
      </c>
      <c r="E204" t="inlineStr">
        <is>
          <t>block</t>
        </is>
      </c>
      <c r="F204" t="inlineStr">
        <is>
          <t>HTR.2</t>
        </is>
      </c>
      <c r="G204" t="inlineStr">
        <is>
          <t>5.24</t>
        </is>
      </c>
      <c r="H204" t="n">
        <v>37</v>
      </c>
      <c r="I204" t="n">
        <v>51.44</v>
      </c>
      <c r="J204" t="n">
        <v>33.34</v>
      </c>
      <c r="K204" t="n">
        <v>19.59</v>
      </c>
      <c r="L204">
        <f>ROUND(SQRT((I204-I191)^2+(J204-J191)^2+(K204-K191)^2),2)</f>
        <v/>
      </c>
      <c r="M204" t="inlineStr">
        <is>
          <t>measured</t>
        </is>
      </c>
    </row>
    <row r="205">
      <c r="A205" t="inlineStr">
        <is>
          <t>40C_10RH_chamber</t>
        </is>
      </c>
      <c r="B205" t="inlineStr">
        <is>
          <t>40 C / 10%RH (chamber arm)</t>
        </is>
      </c>
      <c r="C205" t="inlineStr">
        <is>
          <t>measured</t>
        </is>
      </c>
      <c r="D205" t="inlineStr">
        <is>
          <t>Vermilion</t>
        </is>
      </c>
      <c r="E205" t="inlineStr">
        <is>
          <t>block</t>
        </is>
      </c>
      <c r="F205" t="inlineStr">
        <is>
          <t>HTR.2</t>
        </is>
      </c>
      <c r="G205" t="inlineStr">
        <is>
          <t>5.28</t>
        </is>
      </c>
      <c r="H205" t="n">
        <v>41</v>
      </c>
      <c r="I205" t="n">
        <v>51.86</v>
      </c>
      <c r="J205" t="n">
        <v>33.69</v>
      </c>
      <c r="K205" t="n">
        <v>19.78</v>
      </c>
      <c r="L205">
        <f>ROUND(SQRT((I205-I191)^2+(J205-J191)^2+(K205-K191)^2),2)</f>
        <v/>
      </c>
      <c r="M205" t="inlineStr">
        <is>
          <t>measured</t>
        </is>
      </c>
    </row>
    <row r="206">
      <c r="A206" t="inlineStr">
        <is>
          <t>40C_10RH_chamber</t>
        </is>
      </c>
      <c r="B206" t="inlineStr">
        <is>
          <t>40 C / 10%RH (chamber arm)</t>
        </is>
      </c>
      <c r="C206" t="inlineStr">
        <is>
          <t>measured</t>
        </is>
      </c>
      <c r="D206" t="inlineStr">
        <is>
          <t>Vermilion</t>
        </is>
      </c>
      <c r="E206" t="inlineStr">
        <is>
          <t>block</t>
        </is>
      </c>
      <c r="F206" t="inlineStr">
        <is>
          <t>HTR.2</t>
        </is>
      </c>
      <c r="G206" t="inlineStr">
        <is>
          <t>5.31</t>
        </is>
      </c>
      <c r="H206" t="n">
        <v>44</v>
      </c>
      <c r="I206" t="n">
        <v>51.25</v>
      </c>
      <c r="J206" t="n">
        <v>33.22</v>
      </c>
      <c r="K206" t="n">
        <v>20.41</v>
      </c>
      <c r="L206">
        <f>ROUND(SQRT((I206-I191)^2+(J206-J191)^2+(K206-K191)^2),2)</f>
        <v/>
      </c>
      <c r="M206" t="inlineStr">
        <is>
          <t>measured</t>
        </is>
      </c>
    </row>
    <row r="207">
      <c r="A207" t="inlineStr">
        <is>
          <t>40C_10RH_chamber</t>
        </is>
      </c>
      <c r="B207" t="inlineStr">
        <is>
          <t>40 C / 10%RH (chamber arm)</t>
        </is>
      </c>
      <c r="C207" t="inlineStr">
        <is>
          <t>measured</t>
        </is>
      </c>
      <c r="D207" t="inlineStr">
        <is>
          <t>Vermilion</t>
        </is>
      </c>
      <c r="E207" t="inlineStr">
        <is>
          <t>block</t>
        </is>
      </c>
      <c r="F207" t="inlineStr">
        <is>
          <t>HTR.2</t>
        </is>
      </c>
      <c r="G207" t="inlineStr">
        <is>
          <t>6.03</t>
        </is>
      </c>
      <c r="H207" t="n">
        <v>47</v>
      </c>
      <c r="I207" t="n">
        <v>51.27</v>
      </c>
      <c r="J207" t="n">
        <v>33.27</v>
      </c>
      <c r="K207" t="n">
        <v>20.23</v>
      </c>
      <c r="L207">
        <f>ROUND(SQRT((I207-I191)^2+(J207-J191)^2+(K207-K191)^2),2)</f>
        <v/>
      </c>
      <c r="M207" t="inlineStr">
        <is>
          <t>measured</t>
        </is>
      </c>
    </row>
    <row r="208">
      <c r="A208" t="inlineStr">
        <is>
          <t>40C_10RH_chamber</t>
        </is>
      </c>
      <c r="B208" t="inlineStr">
        <is>
          <t>40 C / 10%RH (chamber arm)</t>
        </is>
      </c>
      <c r="C208" t="inlineStr">
        <is>
          <t>measured</t>
        </is>
      </c>
      <c r="D208" t="inlineStr">
        <is>
          <t>Vermilion</t>
        </is>
      </c>
      <c r="E208" t="inlineStr">
        <is>
          <t>block</t>
        </is>
      </c>
      <c r="F208" t="inlineStr">
        <is>
          <t>HTR.2</t>
        </is>
      </c>
      <c r="G208" t="inlineStr">
        <is>
          <t>6.06</t>
        </is>
      </c>
      <c r="H208" t="n">
        <v>50</v>
      </c>
      <c r="I208" t="n">
        <v>52.17</v>
      </c>
      <c r="J208" t="n">
        <v>33.26</v>
      </c>
      <c r="K208" t="n">
        <v>20.38</v>
      </c>
      <c r="L208">
        <f>ROUND(SQRT((I208-I191)^2+(J208-J191)^2+(K208-K191)^2),2)</f>
        <v/>
      </c>
      <c r="M208" t="inlineStr">
        <is>
          <t>measured</t>
        </is>
      </c>
    </row>
    <row r="209">
      <c r="A209" t="inlineStr">
        <is>
          <t>40C_10RH_chamber</t>
        </is>
      </c>
      <c r="B209" t="inlineStr">
        <is>
          <t>40 C / 10%RH (chamber arm)</t>
        </is>
      </c>
      <c r="C209" t="inlineStr">
        <is>
          <t>measured</t>
        </is>
      </c>
      <c r="D209" t="inlineStr">
        <is>
          <t>Vermilion</t>
        </is>
      </c>
      <c r="E209" t="inlineStr">
        <is>
          <t>block</t>
        </is>
      </c>
      <c r="F209" t="inlineStr">
        <is>
          <t>HTR.2</t>
        </is>
      </c>
      <c r="G209" t="inlineStr">
        <is>
          <t>6.09</t>
        </is>
      </c>
      <c r="H209" t="n">
        <v>53</v>
      </c>
      <c r="I209" t="n">
        <v>51.81</v>
      </c>
      <c r="J209" t="n">
        <v>32.64</v>
      </c>
      <c r="K209" t="n">
        <v>20.89</v>
      </c>
      <c r="L209">
        <f>ROUND(SQRT((I209-I191)^2+(J209-J191)^2+(K209-K191)^2),2)</f>
        <v/>
      </c>
      <c r="M209" t="inlineStr">
        <is>
          <t>measured</t>
        </is>
      </c>
    </row>
    <row r="210">
      <c r="A210" t="inlineStr">
        <is>
          <t>40C_10RH_chamber</t>
        </is>
      </c>
      <c r="B210" t="inlineStr">
        <is>
          <t>40 C / 10%RH (chamber arm)</t>
        </is>
      </c>
      <c r="C210" t="inlineStr">
        <is>
          <t>measured</t>
        </is>
      </c>
      <c r="D210" t="inlineStr">
        <is>
          <t>Vermilion</t>
        </is>
      </c>
      <c r="E210" t="inlineStr">
        <is>
          <t>block</t>
        </is>
      </c>
      <c r="F210" t="inlineStr">
        <is>
          <t>HTR.2</t>
        </is>
      </c>
      <c r="G210" t="inlineStr">
        <is>
          <t>6.13</t>
        </is>
      </c>
      <c r="H210" t="n">
        <v>57</v>
      </c>
      <c r="I210" t="n">
        <v>52.64</v>
      </c>
      <c r="J210" t="n">
        <v>33.37</v>
      </c>
      <c r="K210" t="n">
        <v>18.81</v>
      </c>
      <c r="L210">
        <f>ROUND(SQRT((I210-I191)^2+(J210-J191)^2+(K210-K191)^2),2)</f>
        <v/>
      </c>
      <c r="M210" t="inlineStr">
        <is>
          <t>measured</t>
        </is>
      </c>
    </row>
    <row r="211">
      <c r="A211" t="inlineStr">
        <is>
          <t>40C_10RH_chamber</t>
        </is>
      </c>
      <c r="B211" t="inlineStr">
        <is>
          <t>40 C / 10%RH (chamber arm)</t>
        </is>
      </c>
      <c r="C211" t="inlineStr">
        <is>
          <t>measured</t>
        </is>
      </c>
      <c r="D211" t="inlineStr">
        <is>
          <t>Vermilion</t>
        </is>
      </c>
      <c r="E211" t="inlineStr">
        <is>
          <t>block</t>
        </is>
      </c>
      <c r="F211" t="inlineStr">
        <is>
          <t>HTR.2</t>
        </is>
      </c>
      <c r="G211" t="inlineStr">
        <is>
          <t>6.17</t>
        </is>
      </c>
      <c r="H211" t="n">
        <v>61</v>
      </c>
      <c r="I211" t="n">
        <v>52.74</v>
      </c>
      <c r="J211" t="n">
        <v>34.91</v>
      </c>
      <c r="K211" t="n">
        <v>20.65</v>
      </c>
      <c r="L211">
        <f>ROUND(SQRT((I211-I191)^2+(J211-J191)^2+(K211-K191)^2),2)</f>
        <v/>
      </c>
      <c r="M211" t="inlineStr">
        <is>
          <t>measured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</cols>
  <sheetData>
    <row r="1">
      <c r="A1" s="2" t="inlineStr">
        <is>
          <t>arm_code</t>
        </is>
      </c>
      <c r="B1" s="2" t="inlineStr">
        <is>
          <t>condition</t>
        </is>
      </c>
      <c r="C1" s="2" t="inlineStr">
        <is>
          <t>status</t>
        </is>
      </c>
      <c r="D1" s="2" t="inlineStr">
        <is>
          <t>pigment</t>
        </is>
      </c>
      <c r="E1" s="2" t="inlineStr">
        <is>
          <t>geometry</t>
        </is>
      </c>
      <c r="F1" s="2" t="inlineStr">
        <is>
          <t>spot</t>
        </is>
      </c>
      <c r="G1" s="2" t="inlineStr">
        <is>
          <t>date</t>
        </is>
      </c>
      <c r="H1" s="2" t="inlineStr">
        <is>
          <t>day</t>
        </is>
      </c>
      <c r="I1" s="2" t="inlineStr">
        <is>
          <t>L*</t>
        </is>
      </c>
      <c r="J1" s="2" t="inlineStr">
        <is>
          <t>a*</t>
        </is>
      </c>
      <c r="K1" s="2" t="inlineStr">
        <is>
          <t>b*</t>
        </is>
      </c>
      <c r="L1" s="2" t="inlineStr">
        <is>
          <t>deltaE</t>
        </is>
      </c>
      <c r="M1" s="2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Malachite</t>
        </is>
      </c>
      <c r="E2" t="inlineStr">
        <is>
          <t>pedestal</t>
        </is>
      </c>
      <c r="F2" t="inlineStr">
        <is>
          <t>NG.1</t>
        </is>
      </c>
      <c r="G2" t="inlineStr">
        <is>
          <t>4.17</t>
        </is>
      </c>
      <c r="H2" t="n">
        <v>0</v>
      </c>
      <c r="I2" t="n">
        <v>60.38</v>
      </c>
      <c r="J2" t="n">
        <v>-31.49</v>
      </c>
      <c r="K2" t="n">
        <v>15.09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Malachite</t>
        </is>
      </c>
      <c r="E3" t="inlineStr">
        <is>
          <t>pedestal</t>
        </is>
      </c>
      <c r="F3" t="inlineStr">
        <is>
          <t>NG.1</t>
        </is>
      </c>
      <c r="G3" t="inlineStr">
        <is>
          <t>4.20</t>
        </is>
      </c>
      <c r="H3" t="n">
        <v>3</v>
      </c>
      <c r="I3" t="n">
        <v>61.59</v>
      </c>
      <c r="J3" t="n">
        <v>-32.42</v>
      </c>
      <c r="K3" t="n">
        <v>15.31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Malachite</t>
        </is>
      </c>
      <c r="E4" t="inlineStr">
        <is>
          <t>pedestal</t>
        </is>
      </c>
      <c r="F4" t="inlineStr">
        <is>
          <t>NG.1</t>
        </is>
      </c>
      <c r="G4" t="inlineStr">
        <is>
          <t>4.23</t>
        </is>
      </c>
      <c r="H4" t="n">
        <v>6</v>
      </c>
      <c r="I4" t="n">
        <v>60.25</v>
      </c>
      <c r="J4" t="n">
        <v>-31.47</v>
      </c>
      <c r="K4" t="n">
        <v>15.93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Malachite</t>
        </is>
      </c>
      <c r="E5" t="inlineStr">
        <is>
          <t>pedestal</t>
        </is>
      </c>
      <c r="F5" t="inlineStr">
        <is>
          <t>NG.1</t>
        </is>
      </c>
      <c r="G5" t="inlineStr">
        <is>
          <t>4.26</t>
        </is>
      </c>
      <c r="H5" t="n">
        <v>9</v>
      </c>
      <c r="I5" t="n">
        <v>60.11</v>
      </c>
      <c r="J5" t="n">
        <v>-31.83</v>
      </c>
      <c r="K5" t="n">
        <v>14.58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Malachite</t>
        </is>
      </c>
      <c r="E6" t="inlineStr">
        <is>
          <t>pedestal</t>
        </is>
      </c>
      <c r="F6" t="inlineStr">
        <is>
          <t>NG.1</t>
        </is>
      </c>
      <c r="G6" t="inlineStr">
        <is>
          <t>4.29</t>
        </is>
      </c>
      <c r="H6" t="n">
        <v>12</v>
      </c>
      <c r="I6" t="n">
        <v>61.4</v>
      </c>
      <c r="J6" t="n">
        <v>-31.72</v>
      </c>
      <c r="K6" t="n">
        <v>14.63</v>
      </c>
      <c r="L6">
        <f>ROUND(SQRT((I6-I2)^2+(J6-J2)^2+(K6-K2)^2),2)</f>
        <v/>
      </c>
      <c r="M6" t="inlineStr">
        <is>
          <t>measured</t>
        </is>
      </c>
    </row>
    <row r="7">
      <c r="A7" t="inlineStr">
        <is>
          <t>23C_40RH_room</t>
        </is>
      </c>
      <c r="B7" t="inlineStr">
        <is>
          <t>23 C / 40%RH (room-temp arm)</t>
        </is>
      </c>
      <c r="C7" t="inlineStr">
        <is>
          <t>measured</t>
        </is>
      </c>
      <c r="D7" t="inlineStr">
        <is>
          <t>Malachite</t>
        </is>
      </c>
      <c r="E7" t="inlineStr">
        <is>
          <t>pedestal</t>
        </is>
      </c>
      <c r="F7" t="inlineStr">
        <is>
          <t>NG.1</t>
        </is>
      </c>
      <c r="G7" t="inlineStr">
        <is>
          <t>5.02</t>
        </is>
      </c>
      <c r="H7" t="n">
        <v>15</v>
      </c>
      <c r="I7" t="n">
        <v>59.61</v>
      </c>
      <c r="J7" t="n">
        <v>-30.79</v>
      </c>
      <c r="K7" t="n">
        <v>13.59</v>
      </c>
      <c r="L7">
        <f>ROUND(SQRT((I7-I2)^2+(J7-J2)^2+(K7-K2)^2),2)</f>
        <v/>
      </c>
      <c r="M7" t="inlineStr">
        <is>
          <t>measured</t>
        </is>
      </c>
    </row>
    <row r="8">
      <c r="A8" t="inlineStr">
        <is>
          <t>23C_40RH_room</t>
        </is>
      </c>
      <c r="B8" t="inlineStr">
        <is>
          <t>23 C / 40%RH (room-temp arm)</t>
        </is>
      </c>
      <c r="C8" t="inlineStr">
        <is>
          <t>measured</t>
        </is>
      </c>
      <c r="D8" t="inlineStr">
        <is>
          <t>Malachite</t>
        </is>
      </c>
      <c r="E8" t="inlineStr">
        <is>
          <t>pedestal</t>
        </is>
      </c>
      <c r="F8" t="inlineStr">
        <is>
          <t>NG.1</t>
        </is>
      </c>
      <c r="G8" t="inlineStr">
        <is>
          <t>5.05</t>
        </is>
      </c>
      <c r="H8" t="n">
        <v>18</v>
      </c>
      <c r="I8" t="n">
        <v>59.75</v>
      </c>
      <c r="J8" t="n">
        <v>-31.11</v>
      </c>
      <c r="K8" t="n">
        <v>14.98</v>
      </c>
      <c r="L8">
        <f>ROUND(SQRT((I8-I2)^2+(J8-J2)^2+(K8-K2)^2),2)</f>
        <v/>
      </c>
      <c r="M8" t="inlineStr">
        <is>
          <t>measured</t>
        </is>
      </c>
    </row>
    <row r="9">
      <c r="A9" t="inlineStr">
        <is>
          <t>23C_40RH_room</t>
        </is>
      </c>
      <c r="B9" t="inlineStr">
        <is>
          <t>23 C / 40%RH (room-temp arm)</t>
        </is>
      </c>
      <c r="C9" t="inlineStr">
        <is>
          <t>measured</t>
        </is>
      </c>
      <c r="D9" t="inlineStr">
        <is>
          <t>Malachite</t>
        </is>
      </c>
      <c r="E9" t="inlineStr">
        <is>
          <t>pedestal</t>
        </is>
      </c>
      <c r="F9" t="inlineStr">
        <is>
          <t>NG.1</t>
        </is>
      </c>
      <c r="G9" t="inlineStr">
        <is>
          <t>5.08</t>
        </is>
      </c>
      <c r="H9" t="n">
        <v>21</v>
      </c>
      <c r="I9" t="n">
        <v>60.83</v>
      </c>
      <c r="J9" t="n">
        <v>-30.55</v>
      </c>
      <c r="K9" t="n">
        <v>14.35</v>
      </c>
      <c r="L9">
        <f>ROUND(SQRT((I9-I2)^2+(J9-J2)^2+(K9-K2)^2),2)</f>
        <v/>
      </c>
      <c r="M9" t="inlineStr">
        <is>
          <t>measured</t>
        </is>
      </c>
    </row>
    <row r="10">
      <c r="A10" t="inlineStr">
        <is>
          <t>23C_40RH_room</t>
        </is>
      </c>
      <c r="B10" t="inlineStr">
        <is>
          <t>23 C / 40%RH (room-temp arm)</t>
        </is>
      </c>
      <c r="C10" t="inlineStr">
        <is>
          <t>measured</t>
        </is>
      </c>
      <c r="D10" t="inlineStr">
        <is>
          <t>Malachite</t>
        </is>
      </c>
      <c r="E10" t="inlineStr">
        <is>
          <t>pedestal</t>
        </is>
      </c>
      <c r="F10" t="inlineStr">
        <is>
          <t>NG.1</t>
        </is>
      </c>
      <c r="G10" t="inlineStr">
        <is>
          <t>5.11</t>
        </is>
      </c>
      <c r="H10" t="n">
        <v>24</v>
      </c>
      <c r="I10" t="n">
        <v>60.1</v>
      </c>
      <c r="J10" t="n">
        <v>-31.6</v>
      </c>
      <c r="K10" t="n">
        <v>14.72</v>
      </c>
      <c r="L10">
        <f>ROUND(SQRT((I10-I2)^2+(J10-J2)^2+(K10-K2)^2),2)</f>
        <v/>
      </c>
      <c r="M10" t="inlineStr">
        <is>
          <t>measured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Malachite</t>
        </is>
      </c>
      <c r="E11" t="inlineStr">
        <is>
          <t>pedestal</t>
        </is>
      </c>
      <c r="F11" t="inlineStr">
        <is>
          <t>NG.1</t>
        </is>
      </c>
      <c r="G11" t="inlineStr">
        <is>
          <t>5.12</t>
        </is>
      </c>
      <c r="H11" t="n">
        <v>25</v>
      </c>
      <c r="I11" t="n">
        <v>60.38</v>
      </c>
      <c r="J11" t="n">
        <v>-31.98</v>
      </c>
      <c r="K11" t="n">
        <v>14.48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Malachite</t>
        </is>
      </c>
      <c r="E12" t="inlineStr">
        <is>
          <t>pedestal</t>
        </is>
      </c>
      <c r="F12" t="inlineStr">
        <is>
          <t>NG.1</t>
        </is>
      </c>
      <c r="G12" t="inlineStr">
        <is>
          <t>5.14</t>
        </is>
      </c>
      <c r="H12" t="n">
        <v>27</v>
      </c>
      <c r="I12" t="n">
        <v>60.27</v>
      </c>
      <c r="J12" t="n">
        <v>-31.65</v>
      </c>
      <c r="K12" t="n">
        <v>15.02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Malachite</t>
        </is>
      </c>
      <c r="E13" t="inlineStr">
        <is>
          <t>pedestal</t>
        </is>
      </c>
      <c r="F13" t="inlineStr">
        <is>
          <t>NG.1</t>
        </is>
      </c>
      <c r="G13" t="inlineStr">
        <is>
          <t>5.18</t>
        </is>
      </c>
      <c r="H13" t="n">
        <v>31</v>
      </c>
      <c r="I13" t="n">
        <v>60.62</v>
      </c>
      <c r="J13" t="n">
        <v>-31.32</v>
      </c>
      <c r="K13" t="n">
        <v>13.86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Malachite</t>
        </is>
      </c>
      <c r="E14" t="inlineStr">
        <is>
          <t>pedestal</t>
        </is>
      </c>
      <c r="F14" t="inlineStr">
        <is>
          <t>NG.1</t>
        </is>
      </c>
      <c r="G14" t="inlineStr">
        <is>
          <t>5.21</t>
        </is>
      </c>
      <c r="H14" t="n">
        <v>34</v>
      </c>
      <c r="I14" t="n">
        <v>61.37</v>
      </c>
      <c r="J14" t="n">
        <v>-31.37</v>
      </c>
      <c r="K14" t="n">
        <v>14.06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Malachite</t>
        </is>
      </c>
      <c r="E15" t="inlineStr">
        <is>
          <t>pedestal</t>
        </is>
      </c>
      <c r="F15" t="inlineStr">
        <is>
          <t>NG.1</t>
        </is>
      </c>
      <c r="G15" t="inlineStr">
        <is>
          <t>5.24</t>
        </is>
      </c>
      <c r="H15" t="n">
        <v>37</v>
      </c>
      <c r="I15" t="n">
        <v>60.44</v>
      </c>
      <c r="J15" t="n">
        <v>-32.25</v>
      </c>
      <c r="K15" t="n">
        <v>16.58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Malachite</t>
        </is>
      </c>
      <c r="E16" t="inlineStr">
        <is>
          <t>pedestal</t>
        </is>
      </c>
      <c r="F16" t="inlineStr">
        <is>
          <t>NG.1</t>
        </is>
      </c>
      <c r="G16" t="inlineStr">
        <is>
          <t>5.28</t>
        </is>
      </c>
      <c r="H16" t="n">
        <v>41</v>
      </c>
      <c r="I16" t="n">
        <v>60.83</v>
      </c>
      <c r="J16" t="n">
        <v>-31.43</v>
      </c>
      <c r="K16" t="n">
        <v>14.19</v>
      </c>
      <c r="L16">
        <f>ROUND(SQRT((I16-I2)^2+(J16-J2)^2+(K16-K2)^2),2)</f>
        <v/>
      </c>
      <c r="M16" t="inlineStr">
        <is>
          <t>measured</t>
        </is>
      </c>
    </row>
    <row r="17">
      <c r="A17" t="inlineStr">
        <is>
          <t>23C_40RH_room</t>
        </is>
      </c>
      <c r="B17" t="inlineStr">
        <is>
          <t>23 C / 40%RH (room-temp arm)</t>
        </is>
      </c>
      <c r="C17" t="inlineStr">
        <is>
          <t>measured</t>
        </is>
      </c>
      <c r="D17" t="inlineStr">
        <is>
          <t>Malachite</t>
        </is>
      </c>
      <c r="E17" t="inlineStr">
        <is>
          <t>pedestal</t>
        </is>
      </c>
      <c r="F17" t="inlineStr">
        <is>
          <t>NG.1</t>
        </is>
      </c>
      <c r="G17" t="inlineStr">
        <is>
          <t>5.31</t>
        </is>
      </c>
      <c r="H17" t="n">
        <v>44</v>
      </c>
      <c r="I17" t="n">
        <v>58.94</v>
      </c>
      <c r="J17" t="n">
        <v>-31.33</v>
      </c>
      <c r="K17" t="n">
        <v>14.32</v>
      </c>
      <c r="L17">
        <f>ROUND(SQRT((I17-I2)^2+(J17-J2)^2+(K17-K2)^2),2)</f>
        <v/>
      </c>
      <c r="M17" t="inlineStr">
        <is>
          <t>measured</t>
        </is>
      </c>
    </row>
    <row r="18">
      <c r="A18" t="inlineStr">
        <is>
          <t>23C_40RH_room</t>
        </is>
      </c>
      <c r="B18" t="inlineStr">
        <is>
          <t>23 C / 40%RH (room-temp arm)</t>
        </is>
      </c>
      <c r="C18" t="inlineStr">
        <is>
          <t>measured</t>
        </is>
      </c>
      <c r="D18" t="inlineStr">
        <is>
          <t>Malachite</t>
        </is>
      </c>
      <c r="E18" t="inlineStr">
        <is>
          <t>pedestal</t>
        </is>
      </c>
      <c r="F18" t="inlineStr">
        <is>
          <t>NG.1</t>
        </is>
      </c>
      <c r="G18" t="inlineStr">
        <is>
          <t>6.03</t>
        </is>
      </c>
      <c r="H18" t="n">
        <v>47</v>
      </c>
      <c r="I18" t="n">
        <v>60.35</v>
      </c>
      <c r="J18" t="n">
        <v>-29.73</v>
      </c>
      <c r="K18" t="n">
        <v>16.38</v>
      </c>
      <c r="L18">
        <f>ROUND(SQRT((I18-I2)^2+(J18-J2)^2+(K18-K2)^2),2)</f>
        <v/>
      </c>
      <c r="M18" t="inlineStr">
        <is>
          <t>measured</t>
        </is>
      </c>
    </row>
    <row r="19">
      <c r="A19" t="inlineStr">
        <is>
          <t>23C_40RH_room</t>
        </is>
      </c>
      <c r="B19" t="inlineStr">
        <is>
          <t>23 C / 40%RH (room-temp arm)</t>
        </is>
      </c>
      <c r="C19" t="inlineStr">
        <is>
          <t>measured</t>
        </is>
      </c>
      <c r="D19" t="inlineStr">
        <is>
          <t>Malachite</t>
        </is>
      </c>
      <c r="E19" t="inlineStr">
        <is>
          <t>pedestal</t>
        </is>
      </c>
      <c r="F19" t="inlineStr">
        <is>
          <t>NG.1</t>
        </is>
      </c>
      <c r="G19" t="inlineStr">
        <is>
          <t>6.06</t>
        </is>
      </c>
      <c r="H19" t="n">
        <v>50</v>
      </c>
      <c r="I19" t="n">
        <v>59.79</v>
      </c>
      <c r="J19" t="n">
        <v>-30.18</v>
      </c>
      <c r="K19" t="n">
        <v>17.12</v>
      </c>
      <c r="L19">
        <f>ROUND(SQRT((I19-I2)^2+(J19-J2)^2+(K19-K2)^2),2)</f>
        <v/>
      </c>
      <c r="M19" t="inlineStr">
        <is>
          <t>measured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Malachite</t>
        </is>
      </c>
      <c r="E20" t="inlineStr">
        <is>
          <t>pedestal</t>
        </is>
      </c>
      <c r="F20" t="inlineStr">
        <is>
          <t>NG.1</t>
        </is>
      </c>
      <c r="G20" t="inlineStr">
        <is>
          <t>6.09</t>
        </is>
      </c>
      <c r="H20" t="n">
        <v>53</v>
      </c>
      <c r="I20" t="n">
        <v>59.53</v>
      </c>
      <c r="J20" t="n">
        <v>-32.09</v>
      </c>
      <c r="K20" t="n">
        <v>14.27</v>
      </c>
      <c r="L20">
        <f>ROUND(SQRT((I20-I2)^2+(J20-J2)^2+(K20-K2)^2),2)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Malachite</t>
        </is>
      </c>
      <c r="E21" t="inlineStr">
        <is>
          <t>pedestal</t>
        </is>
      </c>
      <c r="F21" t="inlineStr">
        <is>
          <t>NG.1</t>
        </is>
      </c>
      <c r="G21" t="inlineStr">
        <is>
          <t>6.13</t>
        </is>
      </c>
      <c r="H21" t="n">
        <v>57</v>
      </c>
      <c r="I21" t="n">
        <v>59.77</v>
      </c>
      <c r="J21" t="n">
        <v>-31.69</v>
      </c>
      <c r="K21" t="n">
        <v>14.83</v>
      </c>
      <c r="L21">
        <f>ROUND(SQRT((I21-I2)^2+(J21-J2)^2+(K21-K2)^2),2)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Malachite</t>
        </is>
      </c>
      <c r="E22" t="inlineStr">
        <is>
          <t>pedestal</t>
        </is>
      </c>
      <c r="F22" t="inlineStr">
        <is>
          <t>NG.1</t>
        </is>
      </c>
      <c r="G22" t="inlineStr">
        <is>
          <t>6.17</t>
        </is>
      </c>
      <c r="H22" t="n">
        <v>61</v>
      </c>
      <c r="I22" t="n">
        <v>60.15</v>
      </c>
      <c r="J22" t="n">
        <v>-32.51</v>
      </c>
      <c r="K22" t="n">
        <v>15.33</v>
      </c>
      <c r="L22">
        <f>ROUND(SQRT((I22-I2)^2+(J22-J2)^2+(K22-K2)^2),2)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Malachite</t>
        </is>
      </c>
      <c r="E23" t="inlineStr">
        <is>
          <t>pedestal</t>
        </is>
      </c>
      <c r="F23" t="inlineStr">
        <is>
          <t>NG.2</t>
        </is>
      </c>
      <c r="G23" t="inlineStr">
        <is>
          <t>4.17</t>
        </is>
      </c>
      <c r="H23" t="n">
        <v>0</v>
      </c>
      <c r="I23" t="n">
        <v>59.98</v>
      </c>
      <c r="J23" t="n">
        <v>-32.59</v>
      </c>
      <c r="K23" t="n">
        <v>14.98</v>
      </c>
      <c r="L23" t="n">
        <v>0</v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Malachite</t>
        </is>
      </c>
      <c r="E24" t="inlineStr">
        <is>
          <t>pedestal</t>
        </is>
      </c>
      <c r="F24" t="inlineStr">
        <is>
          <t>NG.2</t>
        </is>
      </c>
      <c r="G24" t="inlineStr">
        <is>
          <t>4.20</t>
        </is>
      </c>
      <c r="H24" t="n">
        <v>3</v>
      </c>
      <c r="I24" t="n">
        <v>59.29</v>
      </c>
      <c r="J24" t="n">
        <v>-31.49</v>
      </c>
      <c r="K24" t="n">
        <v>15.1</v>
      </c>
      <c r="L24">
        <f>ROUND(SQRT((I24-I23)^2+(J24-J23)^2+(K24-K23)^2),2)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Malachite</t>
        </is>
      </c>
      <c r="E25" t="inlineStr">
        <is>
          <t>pedestal</t>
        </is>
      </c>
      <c r="F25" t="inlineStr">
        <is>
          <t>NG.2</t>
        </is>
      </c>
      <c r="G25" t="inlineStr">
        <is>
          <t>4.23</t>
        </is>
      </c>
      <c r="H25" t="n">
        <v>6</v>
      </c>
      <c r="I25" t="n">
        <v>59.81</v>
      </c>
      <c r="J25" t="n">
        <v>-32.32</v>
      </c>
      <c r="K25" t="n">
        <v>15.19</v>
      </c>
      <c r="L25">
        <f>ROUND(SQRT((I25-I23)^2+(J25-J23)^2+(K25-K23)^2),2)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Malachite</t>
        </is>
      </c>
      <c r="E26" t="inlineStr">
        <is>
          <t>pedestal</t>
        </is>
      </c>
      <c r="F26" t="inlineStr">
        <is>
          <t>NG.2</t>
        </is>
      </c>
      <c r="G26" t="inlineStr">
        <is>
          <t>4.26</t>
        </is>
      </c>
      <c r="H26" t="n">
        <v>9</v>
      </c>
      <c r="I26" t="n">
        <v>60.52</v>
      </c>
      <c r="J26" t="n">
        <v>-33.12</v>
      </c>
      <c r="K26" t="n">
        <v>14.72</v>
      </c>
      <c r="L26">
        <f>ROUND(SQRT((I26-I23)^2+(J26-J23)^2+(K26-K23)^2),2)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Malachite</t>
        </is>
      </c>
      <c r="E27" t="inlineStr">
        <is>
          <t>pedestal</t>
        </is>
      </c>
      <c r="F27" t="inlineStr">
        <is>
          <t>NG.2</t>
        </is>
      </c>
      <c r="G27" t="inlineStr">
        <is>
          <t>4.29</t>
        </is>
      </c>
      <c r="H27" t="n">
        <v>12</v>
      </c>
      <c r="I27" t="n">
        <v>60.28</v>
      </c>
      <c r="J27" t="n">
        <v>-33.37</v>
      </c>
      <c r="K27" t="n">
        <v>13.75</v>
      </c>
      <c r="L27">
        <f>ROUND(SQRT((I27-I23)^2+(J27-J23)^2+(K27-K23)^2),2)</f>
        <v/>
      </c>
      <c r="M27" t="inlineStr">
        <is>
          <t>measured</t>
        </is>
      </c>
    </row>
    <row r="28">
      <c r="A28" t="inlineStr">
        <is>
          <t>23C_40RH_room</t>
        </is>
      </c>
      <c r="B28" t="inlineStr">
        <is>
          <t>23 C / 40%RH (room-temp arm)</t>
        </is>
      </c>
      <c r="C28" t="inlineStr">
        <is>
          <t>measured</t>
        </is>
      </c>
      <c r="D28" t="inlineStr">
        <is>
          <t>Malachite</t>
        </is>
      </c>
      <c r="E28" t="inlineStr">
        <is>
          <t>pedestal</t>
        </is>
      </c>
      <c r="F28" t="inlineStr">
        <is>
          <t>NG.2</t>
        </is>
      </c>
      <c r="G28" t="inlineStr">
        <is>
          <t>5.02</t>
        </is>
      </c>
      <c r="H28" t="n">
        <v>15</v>
      </c>
      <c r="I28" t="n">
        <v>59.72</v>
      </c>
      <c r="J28" t="n">
        <v>-31.76</v>
      </c>
      <c r="K28" t="n">
        <v>15.21</v>
      </c>
      <c r="L28">
        <f>ROUND(SQRT((I28-I23)^2+(J28-J23)^2+(K28-K23)^2),2)</f>
        <v/>
      </c>
      <c r="M28" t="inlineStr">
        <is>
          <t>measured</t>
        </is>
      </c>
    </row>
    <row r="29">
      <c r="A29" t="inlineStr">
        <is>
          <t>23C_40RH_room</t>
        </is>
      </c>
      <c r="B29" t="inlineStr">
        <is>
          <t>23 C / 40%RH (room-temp arm)</t>
        </is>
      </c>
      <c r="C29" t="inlineStr">
        <is>
          <t>measured</t>
        </is>
      </c>
      <c r="D29" t="inlineStr">
        <is>
          <t>Malachite</t>
        </is>
      </c>
      <c r="E29" t="inlineStr">
        <is>
          <t>pedestal</t>
        </is>
      </c>
      <c r="F29" t="inlineStr">
        <is>
          <t>NG.2</t>
        </is>
      </c>
      <c r="G29" t="inlineStr">
        <is>
          <t>5.05</t>
        </is>
      </c>
      <c r="H29" t="n">
        <v>18</v>
      </c>
      <c r="I29" t="n">
        <v>59.89</v>
      </c>
      <c r="J29" t="n">
        <v>-32.41</v>
      </c>
      <c r="K29" t="n">
        <v>16.19</v>
      </c>
      <c r="L29">
        <f>ROUND(SQRT((I29-I23)^2+(J29-J23)^2+(K29-K23)^2),2)</f>
        <v/>
      </c>
      <c r="M29" t="inlineStr">
        <is>
          <t>measured</t>
        </is>
      </c>
    </row>
    <row r="30">
      <c r="A30" t="inlineStr">
        <is>
          <t>23C_40RH_room</t>
        </is>
      </c>
      <c r="B30" t="inlineStr">
        <is>
          <t>23 C / 40%RH (room-temp arm)</t>
        </is>
      </c>
      <c r="C30" t="inlineStr">
        <is>
          <t>measured</t>
        </is>
      </c>
      <c r="D30" t="inlineStr">
        <is>
          <t>Malachite</t>
        </is>
      </c>
      <c r="E30" t="inlineStr">
        <is>
          <t>pedestal</t>
        </is>
      </c>
      <c r="F30" t="inlineStr">
        <is>
          <t>NG.2</t>
        </is>
      </c>
      <c r="G30" t="inlineStr">
        <is>
          <t>5.08</t>
        </is>
      </c>
      <c r="H30" t="n">
        <v>21</v>
      </c>
      <c r="I30" t="n">
        <v>59.02</v>
      </c>
      <c r="J30" t="n">
        <v>-32.25</v>
      </c>
      <c r="K30" t="n">
        <v>13.91</v>
      </c>
      <c r="L30">
        <f>ROUND(SQRT((I30-I23)^2+(J30-J23)^2+(K30-K23)^2),2)</f>
        <v/>
      </c>
      <c r="M30" t="inlineStr">
        <is>
          <t>measured</t>
        </is>
      </c>
    </row>
    <row r="31">
      <c r="A31" t="inlineStr">
        <is>
          <t>23C_40RH_room</t>
        </is>
      </c>
      <c r="B31" t="inlineStr">
        <is>
          <t>23 C / 40%RH (room-temp arm)</t>
        </is>
      </c>
      <c r="C31" t="inlineStr">
        <is>
          <t>measured</t>
        </is>
      </c>
      <c r="D31" t="inlineStr">
        <is>
          <t>Malachite</t>
        </is>
      </c>
      <c r="E31" t="inlineStr">
        <is>
          <t>pedestal</t>
        </is>
      </c>
      <c r="F31" t="inlineStr">
        <is>
          <t>NG.2</t>
        </is>
      </c>
      <c r="G31" t="inlineStr">
        <is>
          <t>5.11</t>
        </is>
      </c>
      <c r="H31" t="n">
        <v>24</v>
      </c>
      <c r="I31" t="n">
        <v>59.81</v>
      </c>
      <c r="J31" t="n">
        <v>-33.81</v>
      </c>
      <c r="K31" t="n">
        <v>15.58</v>
      </c>
      <c r="L31">
        <f>ROUND(SQRT((I31-I23)^2+(J31-J23)^2+(K31-K23)^2),2)</f>
        <v/>
      </c>
      <c r="M31" t="inlineStr">
        <is>
          <t>measured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Malachite</t>
        </is>
      </c>
      <c r="E32" t="inlineStr">
        <is>
          <t>pedestal</t>
        </is>
      </c>
      <c r="F32" t="inlineStr">
        <is>
          <t>NG.2</t>
        </is>
      </c>
      <c r="G32" t="inlineStr">
        <is>
          <t>5.12</t>
        </is>
      </c>
      <c r="H32" t="n">
        <v>25</v>
      </c>
      <c r="I32" t="n">
        <v>59.79</v>
      </c>
      <c r="J32" t="n">
        <v>-31.94</v>
      </c>
      <c r="K32" t="n">
        <v>14.75</v>
      </c>
      <c r="L32">
        <f>ROUND(SQRT((I32-I23)^2+(J32-J23)^2+(K32-K23)^2),2)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Malachite</t>
        </is>
      </c>
      <c r="E33" t="inlineStr">
        <is>
          <t>pedestal</t>
        </is>
      </c>
      <c r="F33" t="inlineStr">
        <is>
          <t>NG.2</t>
        </is>
      </c>
      <c r="G33" t="inlineStr">
        <is>
          <t>5.14</t>
        </is>
      </c>
      <c r="H33" t="n">
        <v>27</v>
      </c>
      <c r="I33" t="n">
        <v>60.14</v>
      </c>
      <c r="J33" t="n">
        <v>-32.27</v>
      </c>
      <c r="K33" t="n">
        <v>14.94</v>
      </c>
      <c r="L33">
        <f>ROUND(SQRT((I33-I23)^2+(J33-J23)^2+(K33-K23)^2),2)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Malachite</t>
        </is>
      </c>
      <c r="E34" t="inlineStr">
        <is>
          <t>pedestal</t>
        </is>
      </c>
      <c r="F34" t="inlineStr">
        <is>
          <t>NG.2</t>
        </is>
      </c>
      <c r="G34" t="inlineStr">
        <is>
          <t>5.18</t>
        </is>
      </c>
      <c r="H34" t="n">
        <v>31</v>
      </c>
      <c r="I34" t="n">
        <v>59.59</v>
      </c>
      <c r="J34" t="n">
        <v>-33.37</v>
      </c>
      <c r="K34" t="n">
        <v>14.24</v>
      </c>
      <c r="L34">
        <f>ROUND(SQRT((I34-I23)^2+(J34-J23)^2+(K34-K23)^2),2)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Malachite</t>
        </is>
      </c>
      <c r="E35" t="inlineStr">
        <is>
          <t>pedestal</t>
        </is>
      </c>
      <c r="F35" t="inlineStr">
        <is>
          <t>NG.2</t>
        </is>
      </c>
      <c r="G35" t="inlineStr">
        <is>
          <t>5.21</t>
        </is>
      </c>
      <c r="H35" t="n">
        <v>34</v>
      </c>
      <c r="I35" t="n">
        <v>60.31</v>
      </c>
      <c r="J35" t="n">
        <v>-32.92</v>
      </c>
      <c r="K35" t="n">
        <v>14.75</v>
      </c>
      <c r="L35">
        <f>ROUND(SQRT((I35-I23)^2+(J35-J23)^2+(K35-K23)^2),2)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Malachite</t>
        </is>
      </c>
      <c r="E36" t="inlineStr">
        <is>
          <t>pedestal</t>
        </is>
      </c>
      <c r="F36" t="inlineStr">
        <is>
          <t>NG.2</t>
        </is>
      </c>
      <c r="G36" t="inlineStr">
        <is>
          <t>5.24</t>
        </is>
      </c>
      <c r="H36" t="n">
        <v>37</v>
      </c>
      <c r="I36" t="n">
        <v>60.69</v>
      </c>
      <c r="J36" t="n">
        <v>-32.41</v>
      </c>
      <c r="K36" t="n">
        <v>15.89</v>
      </c>
      <c r="L36">
        <f>ROUND(SQRT((I36-I23)^2+(J36-J23)^2+(K36-K23)^2),2)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Malachite</t>
        </is>
      </c>
      <c r="E37" t="inlineStr">
        <is>
          <t>pedestal</t>
        </is>
      </c>
      <c r="F37" t="inlineStr">
        <is>
          <t>NG.2</t>
        </is>
      </c>
      <c r="G37" t="inlineStr">
        <is>
          <t>5.28</t>
        </is>
      </c>
      <c r="H37" t="n">
        <v>41</v>
      </c>
      <c r="I37" t="n">
        <v>60.09</v>
      </c>
      <c r="J37" t="n">
        <v>-32.55</v>
      </c>
      <c r="K37" t="n">
        <v>15.39</v>
      </c>
      <c r="L37">
        <f>ROUND(SQRT((I37-I23)^2+(J37-J23)^2+(K37-K23)^2),2)</f>
        <v/>
      </c>
      <c r="M37" t="inlineStr">
        <is>
          <t>measured</t>
        </is>
      </c>
    </row>
    <row r="38">
      <c r="A38" t="inlineStr">
        <is>
          <t>23C_40RH_room</t>
        </is>
      </c>
      <c r="B38" t="inlineStr">
        <is>
          <t>23 C / 40%RH (room-temp arm)</t>
        </is>
      </c>
      <c r="C38" t="inlineStr">
        <is>
          <t>measured</t>
        </is>
      </c>
      <c r="D38" t="inlineStr">
        <is>
          <t>Malachite</t>
        </is>
      </c>
      <c r="E38" t="inlineStr">
        <is>
          <t>pedestal</t>
        </is>
      </c>
      <c r="F38" t="inlineStr">
        <is>
          <t>NG.2</t>
        </is>
      </c>
      <c r="G38" t="inlineStr">
        <is>
          <t>5.31</t>
        </is>
      </c>
      <c r="H38" t="n">
        <v>44</v>
      </c>
      <c r="I38" t="n">
        <v>60.23</v>
      </c>
      <c r="J38" t="n">
        <v>-32.79</v>
      </c>
      <c r="K38" t="n">
        <v>16.19</v>
      </c>
      <c r="L38">
        <f>ROUND(SQRT((I38-I23)^2+(J38-J23)^2+(K38-K23)^2),2)</f>
        <v/>
      </c>
      <c r="M38" t="inlineStr">
        <is>
          <t>measured</t>
        </is>
      </c>
    </row>
    <row r="39">
      <c r="A39" t="inlineStr">
        <is>
          <t>23C_40RH_room</t>
        </is>
      </c>
      <c r="B39" t="inlineStr">
        <is>
          <t>23 C / 40%RH (room-temp arm)</t>
        </is>
      </c>
      <c r="C39" t="inlineStr">
        <is>
          <t>measured</t>
        </is>
      </c>
      <c r="D39" t="inlineStr">
        <is>
          <t>Malachite</t>
        </is>
      </c>
      <c r="E39" t="inlineStr">
        <is>
          <t>pedestal</t>
        </is>
      </c>
      <c r="F39" t="inlineStr">
        <is>
          <t>NG.2</t>
        </is>
      </c>
      <c r="G39" t="inlineStr">
        <is>
          <t>6.03</t>
        </is>
      </c>
      <c r="H39" t="n">
        <v>47</v>
      </c>
      <c r="I39" t="n">
        <v>60.02</v>
      </c>
      <c r="J39" t="n">
        <v>-32.66</v>
      </c>
      <c r="K39" t="n">
        <v>15.8</v>
      </c>
      <c r="L39">
        <f>ROUND(SQRT((I39-I23)^2+(J39-J23)^2+(K39-K23)^2),2)</f>
        <v/>
      </c>
      <c r="M39" t="inlineStr">
        <is>
          <t>measured</t>
        </is>
      </c>
    </row>
    <row r="40">
      <c r="A40" t="inlineStr">
        <is>
          <t>23C_40RH_room</t>
        </is>
      </c>
      <c r="B40" t="inlineStr">
        <is>
          <t>23 C / 40%RH (room-temp arm)</t>
        </is>
      </c>
      <c r="C40" t="inlineStr">
        <is>
          <t>measured</t>
        </is>
      </c>
      <c r="D40" t="inlineStr">
        <is>
          <t>Malachite</t>
        </is>
      </c>
      <c r="E40" t="inlineStr">
        <is>
          <t>pedestal</t>
        </is>
      </c>
      <c r="F40" t="inlineStr">
        <is>
          <t>NG.2</t>
        </is>
      </c>
      <c r="G40" t="inlineStr">
        <is>
          <t>6.06</t>
        </is>
      </c>
      <c r="H40" t="n">
        <v>50</v>
      </c>
      <c r="I40" t="n">
        <v>59.98</v>
      </c>
      <c r="J40" t="n">
        <v>-32.77</v>
      </c>
      <c r="K40" t="n">
        <v>15.29</v>
      </c>
      <c r="L40">
        <f>ROUND(SQRT((I40-I23)^2+(J40-J23)^2+(K40-K23)^2),2)</f>
        <v/>
      </c>
      <c r="M40" t="inlineStr">
        <is>
          <t>measured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Malachite</t>
        </is>
      </c>
      <c r="E41" t="inlineStr">
        <is>
          <t>pedestal</t>
        </is>
      </c>
      <c r="F41" t="inlineStr">
        <is>
          <t>NG.2</t>
        </is>
      </c>
      <c r="G41" t="inlineStr">
        <is>
          <t>6.09</t>
        </is>
      </c>
      <c r="H41" t="n">
        <v>53</v>
      </c>
      <c r="I41" t="n">
        <v>59.47</v>
      </c>
      <c r="J41" t="n">
        <v>-32.48</v>
      </c>
      <c r="K41" t="n">
        <v>16.2</v>
      </c>
      <c r="L41">
        <f>ROUND(SQRT((I41-I23)^2+(J41-J23)^2+(K41-K23)^2),2)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Malachite</t>
        </is>
      </c>
      <c r="E42" t="inlineStr">
        <is>
          <t>pedestal</t>
        </is>
      </c>
      <c r="F42" t="inlineStr">
        <is>
          <t>NG.2</t>
        </is>
      </c>
      <c r="G42" t="inlineStr">
        <is>
          <t>6.13</t>
        </is>
      </c>
      <c r="H42" t="n">
        <v>57</v>
      </c>
      <c r="I42" t="n">
        <v>60.2</v>
      </c>
      <c r="J42" t="n">
        <v>-31.56</v>
      </c>
      <c r="K42" t="n">
        <v>15.29</v>
      </c>
      <c r="L42">
        <f>ROUND(SQRT((I42-I23)^2+(J42-J23)^2+(K42-K23)^2),2)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Malachite</t>
        </is>
      </c>
      <c r="E43" t="inlineStr">
        <is>
          <t>pedestal</t>
        </is>
      </c>
      <c r="F43" t="inlineStr">
        <is>
          <t>NG.2</t>
        </is>
      </c>
      <c r="G43" t="inlineStr">
        <is>
          <t>6.17</t>
        </is>
      </c>
      <c r="H43" t="n">
        <v>61</v>
      </c>
      <c r="I43" t="n">
        <v>59.91</v>
      </c>
      <c r="J43" t="n">
        <v>-34.39</v>
      </c>
      <c r="K43" t="n">
        <v>15.56</v>
      </c>
      <c r="L43">
        <f>ROUND(SQRT((I43-I23)^2+(J43-J23)^2+(K43-K23)^2),2)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Malachite</t>
        </is>
      </c>
      <c r="E44" t="inlineStr">
        <is>
          <t>pedestal</t>
        </is>
      </c>
      <c r="F44" t="inlineStr">
        <is>
          <t>NG.3</t>
        </is>
      </c>
      <c r="G44" t="inlineStr">
        <is>
          <t>4.17</t>
        </is>
      </c>
      <c r="H44" t="n">
        <v>0</v>
      </c>
      <c r="I44" t="n">
        <v>61.84</v>
      </c>
      <c r="J44" t="n">
        <v>-30.81</v>
      </c>
      <c r="K44" t="n">
        <v>14.68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Malachite</t>
        </is>
      </c>
      <c r="E45" t="inlineStr">
        <is>
          <t>pedestal</t>
        </is>
      </c>
      <c r="F45" t="inlineStr">
        <is>
          <t>NG.3</t>
        </is>
      </c>
      <c r="G45" t="inlineStr">
        <is>
          <t>4.20</t>
        </is>
      </c>
      <c r="H45" t="n">
        <v>3</v>
      </c>
      <c r="I45" t="n">
        <v>61.89</v>
      </c>
      <c r="J45" t="n">
        <v>-30.59</v>
      </c>
      <c r="K45" t="n">
        <v>14.08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Malachite</t>
        </is>
      </c>
      <c r="E46" t="inlineStr">
        <is>
          <t>pedestal</t>
        </is>
      </c>
      <c r="F46" t="inlineStr">
        <is>
          <t>NG.3</t>
        </is>
      </c>
      <c r="G46" t="inlineStr">
        <is>
          <t>4.23</t>
        </is>
      </c>
      <c r="H46" t="n">
        <v>6</v>
      </c>
      <c r="I46" t="n">
        <v>61.35</v>
      </c>
      <c r="J46" t="n">
        <v>-30</v>
      </c>
      <c r="K46" t="n">
        <v>14.58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Malachite</t>
        </is>
      </c>
      <c r="E47" t="inlineStr">
        <is>
          <t>pedestal</t>
        </is>
      </c>
      <c r="F47" t="inlineStr">
        <is>
          <t>NG.3</t>
        </is>
      </c>
      <c r="G47" t="inlineStr">
        <is>
          <t>4.26</t>
        </is>
      </c>
      <c r="H47" t="n">
        <v>9</v>
      </c>
      <c r="I47" t="n">
        <v>62.53</v>
      </c>
      <c r="J47" t="n">
        <v>-30.38</v>
      </c>
      <c r="K47" t="n">
        <v>14.57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Malachite</t>
        </is>
      </c>
      <c r="E48" t="inlineStr">
        <is>
          <t>pedestal</t>
        </is>
      </c>
      <c r="F48" t="inlineStr">
        <is>
          <t>NG.3</t>
        </is>
      </c>
      <c r="G48" t="inlineStr">
        <is>
          <t>4.29</t>
        </is>
      </c>
      <c r="H48" t="n">
        <v>12</v>
      </c>
      <c r="I48" t="n">
        <v>61.02</v>
      </c>
      <c r="J48" t="n">
        <v>-32.41</v>
      </c>
      <c r="K48" t="n">
        <v>14.95</v>
      </c>
      <c r="L48">
        <f>ROUND(SQRT((I48-I44)^2+(J48-J44)^2+(K48-K44)^2),2)</f>
        <v/>
      </c>
      <c r="M48" t="inlineStr">
        <is>
          <t>measured</t>
        </is>
      </c>
    </row>
    <row r="49">
      <c r="A49" t="inlineStr">
        <is>
          <t>23C_40RH_room</t>
        </is>
      </c>
      <c r="B49" t="inlineStr">
        <is>
          <t>23 C / 40%RH (room-temp arm)</t>
        </is>
      </c>
      <c r="C49" t="inlineStr">
        <is>
          <t>measured</t>
        </is>
      </c>
      <c r="D49" t="inlineStr">
        <is>
          <t>Malachite</t>
        </is>
      </c>
      <c r="E49" t="inlineStr">
        <is>
          <t>pedestal</t>
        </is>
      </c>
      <c r="F49" t="inlineStr">
        <is>
          <t>NG.3</t>
        </is>
      </c>
      <c r="G49" t="inlineStr">
        <is>
          <t>5.02</t>
        </is>
      </c>
      <c r="H49" t="n">
        <v>15</v>
      </c>
      <c r="I49" t="n">
        <v>62.39</v>
      </c>
      <c r="J49" t="n">
        <v>-30.6</v>
      </c>
      <c r="K49" t="n">
        <v>15.38</v>
      </c>
      <c r="L49">
        <f>ROUND(SQRT((I49-I44)^2+(J49-J44)^2+(K49-K44)^2),2)</f>
        <v/>
      </c>
      <c r="M49" t="inlineStr">
        <is>
          <t>measured</t>
        </is>
      </c>
    </row>
    <row r="50">
      <c r="A50" t="inlineStr">
        <is>
          <t>23C_40RH_room</t>
        </is>
      </c>
      <c r="B50" t="inlineStr">
        <is>
          <t>23 C / 40%RH (room-temp arm)</t>
        </is>
      </c>
      <c r="C50" t="inlineStr">
        <is>
          <t>measured</t>
        </is>
      </c>
      <c r="D50" t="inlineStr">
        <is>
          <t>Malachite</t>
        </is>
      </c>
      <c r="E50" t="inlineStr">
        <is>
          <t>pedestal</t>
        </is>
      </c>
      <c r="F50" t="inlineStr">
        <is>
          <t>NG.3</t>
        </is>
      </c>
      <c r="G50" t="inlineStr">
        <is>
          <t>5.05</t>
        </is>
      </c>
      <c r="H50" t="n">
        <v>18</v>
      </c>
      <c r="I50" t="n">
        <v>61.71</v>
      </c>
      <c r="J50" t="n">
        <v>-30.76</v>
      </c>
      <c r="K50" t="n">
        <v>13.94</v>
      </c>
      <c r="L50">
        <f>ROUND(SQRT((I50-I44)^2+(J50-J44)^2+(K50-K44)^2),2)</f>
        <v/>
      </c>
      <c r="M50" t="inlineStr">
        <is>
          <t>measured</t>
        </is>
      </c>
    </row>
    <row r="51">
      <c r="A51" t="inlineStr">
        <is>
          <t>23C_40RH_room</t>
        </is>
      </c>
      <c r="B51" t="inlineStr">
        <is>
          <t>23 C / 40%RH (room-temp arm)</t>
        </is>
      </c>
      <c r="C51" t="inlineStr">
        <is>
          <t>measured</t>
        </is>
      </c>
      <c r="D51" t="inlineStr">
        <is>
          <t>Malachite</t>
        </is>
      </c>
      <c r="E51" t="inlineStr">
        <is>
          <t>pedestal</t>
        </is>
      </c>
      <c r="F51" t="inlineStr">
        <is>
          <t>NG.3</t>
        </is>
      </c>
      <c r="G51" t="inlineStr">
        <is>
          <t>5.08</t>
        </is>
      </c>
      <c r="H51" t="n">
        <v>21</v>
      </c>
      <c r="I51" t="n">
        <v>62.66</v>
      </c>
      <c r="J51" t="n">
        <v>-30.52</v>
      </c>
      <c r="K51" t="n">
        <v>14.59</v>
      </c>
      <c r="L51">
        <f>ROUND(SQRT((I51-I44)^2+(J51-J44)^2+(K51-K44)^2),2)</f>
        <v/>
      </c>
      <c r="M51" t="inlineStr">
        <is>
          <t>measured</t>
        </is>
      </c>
    </row>
    <row r="52">
      <c r="A52" t="inlineStr">
        <is>
          <t>23C_40RH_room</t>
        </is>
      </c>
      <c r="B52" t="inlineStr">
        <is>
          <t>23 C / 40%RH (room-temp arm)</t>
        </is>
      </c>
      <c r="C52" t="inlineStr">
        <is>
          <t>measured</t>
        </is>
      </c>
      <c r="D52" t="inlineStr">
        <is>
          <t>Malachite</t>
        </is>
      </c>
      <c r="E52" t="inlineStr">
        <is>
          <t>pedestal</t>
        </is>
      </c>
      <c r="F52" t="inlineStr">
        <is>
          <t>NG.3</t>
        </is>
      </c>
      <c r="G52" t="inlineStr">
        <is>
          <t>5.11</t>
        </is>
      </c>
      <c r="H52" t="n">
        <v>24</v>
      </c>
      <c r="I52" t="n">
        <v>62.37</v>
      </c>
      <c r="J52" t="n">
        <v>-29.68</v>
      </c>
      <c r="K52" t="n">
        <v>15.72</v>
      </c>
      <c r="L52">
        <f>ROUND(SQRT((I52-I44)^2+(J52-J44)^2+(K52-K44)^2),2)</f>
        <v/>
      </c>
      <c r="M52" t="inlineStr">
        <is>
          <t>measured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Malachite</t>
        </is>
      </c>
      <c r="E53" t="inlineStr">
        <is>
          <t>pedestal</t>
        </is>
      </c>
      <c r="F53" t="inlineStr">
        <is>
          <t>NG.3</t>
        </is>
      </c>
      <c r="G53" t="inlineStr">
        <is>
          <t>5.12</t>
        </is>
      </c>
      <c r="H53" t="n">
        <v>25</v>
      </c>
      <c r="I53" t="n">
        <v>63.11</v>
      </c>
      <c r="J53" t="n">
        <v>-32.25</v>
      </c>
      <c r="K53" t="n">
        <v>14.16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Malachite</t>
        </is>
      </c>
      <c r="E54" t="inlineStr">
        <is>
          <t>pedestal</t>
        </is>
      </c>
      <c r="F54" t="inlineStr">
        <is>
          <t>NG.3</t>
        </is>
      </c>
      <c r="G54" t="inlineStr">
        <is>
          <t>5.14</t>
        </is>
      </c>
      <c r="H54" t="n">
        <v>27</v>
      </c>
      <c r="I54" t="n">
        <v>62.35</v>
      </c>
      <c r="J54" t="n">
        <v>-31.22</v>
      </c>
      <c r="K54" t="n">
        <v>14.1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Malachite</t>
        </is>
      </c>
      <c r="E55" t="inlineStr">
        <is>
          <t>pedestal</t>
        </is>
      </c>
      <c r="F55" t="inlineStr">
        <is>
          <t>NG.3</t>
        </is>
      </c>
      <c r="G55" t="inlineStr">
        <is>
          <t>5.18</t>
        </is>
      </c>
      <c r="H55" t="n">
        <v>31</v>
      </c>
      <c r="I55" t="n">
        <v>60.74</v>
      </c>
      <c r="J55" t="n">
        <v>-30.4</v>
      </c>
      <c r="K55" t="n">
        <v>14.82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Malachite</t>
        </is>
      </c>
      <c r="E56" t="inlineStr">
        <is>
          <t>pedestal</t>
        </is>
      </c>
      <c r="F56" t="inlineStr">
        <is>
          <t>NG.3</t>
        </is>
      </c>
      <c r="G56" t="inlineStr">
        <is>
          <t>5.21</t>
        </is>
      </c>
      <c r="H56" t="n">
        <v>34</v>
      </c>
      <c r="I56" t="n">
        <v>61.79</v>
      </c>
      <c r="J56" t="n">
        <v>-31.92</v>
      </c>
      <c r="K56" t="n">
        <v>15.27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Malachite</t>
        </is>
      </c>
      <c r="E57" t="inlineStr">
        <is>
          <t>pedestal</t>
        </is>
      </c>
      <c r="F57" t="inlineStr">
        <is>
          <t>NG.3</t>
        </is>
      </c>
      <c r="G57" t="inlineStr">
        <is>
          <t>5.24</t>
        </is>
      </c>
      <c r="H57" t="n">
        <v>37</v>
      </c>
      <c r="I57" t="n">
        <v>61.02</v>
      </c>
      <c r="J57" t="n">
        <v>-29.78</v>
      </c>
      <c r="K57" t="n">
        <v>14.69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Malachite</t>
        </is>
      </c>
      <c r="E58" t="inlineStr">
        <is>
          <t>pedestal</t>
        </is>
      </c>
      <c r="F58" t="inlineStr">
        <is>
          <t>NG.3</t>
        </is>
      </c>
      <c r="G58" t="inlineStr">
        <is>
          <t>5.28</t>
        </is>
      </c>
      <c r="H58" t="n">
        <v>41</v>
      </c>
      <c r="I58" t="n">
        <v>61.48</v>
      </c>
      <c r="J58" t="n">
        <v>-30.55</v>
      </c>
      <c r="K58" t="n">
        <v>15.61</v>
      </c>
      <c r="L58">
        <f>ROUND(SQRT((I58-I44)^2+(J58-J44)^2+(K58-K44)^2),2)</f>
        <v/>
      </c>
      <c r="M58" t="inlineStr">
        <is>
          <t>measured</t>
        </is>
      </c>
    </row>
    <row r="59">
      <c r="A59" t="inlineStr">
        <is>
          <t>23C_40RH_room</t>
        </is>
      </c>
      <c r="B59" t="inlineStr">
        <is>
          <t>23 C / 40%RH (room-temp arm)</t>
        </is>
      </c>
      <c r="C59" t="inlineStr">
        <is>
          <t>measured</t>
        </is>
      </c>
      <c r="D59" t="inlineStr">
        <is>
          <t>Malachite</t>
        </is>
      </c>
      <c r="E59" t="inlineStr">
        <is>
          <t>pedestal</t>
        </is>
      </c>
      <c r="F59" t="inlineStr">
        <is>
          <t>NG.3</t>
        </is>
      </c>
      <c r="G59" t="inlineStr">
        <is>
          <t>5.31</t>
        </is>
      </c>
      <c r="H59" t="n">
        <v>44</v>
      </c>
      <c r="I59" t="n">
        <v>62.9</v>
      </c>
      <c r="J59" t="n">
        <v>-30.22</v>
      </c>
      <c r="K59" t="n">
        <v>15.28</v>
      </c>
      <c r="L59">
        <f>ROUND(SQRT((I59-I44)^2+(J59-J44)^2+(K59-K44)^2),2)</f>
        <v/>
      </c>
      <c r="M59" t="inlineStr">
        <is>
          <t>measured</t>
        </is>
      </c>
    </row>
    <row r="60">
      <c r="A60" t="inlineStr">
        <is>
          <t>23C_40RH_room</t>
        </is>
      </c>
      <c r="B60" t="inlineStr">
        <is>
          <t>23 C / 40%RH (room-temp arm)</t>
        </is>
      </c>
      <c r="C60" t="inlineStr">
        <is>
          <t>measured</t>
        </is>
      </c>
      <c r="D60" t="inlineStr">
        <is>
          <t>Malachite</t>
        </is>
      </c>
      <c r="E60" t="inlineStr">
        <is>
          <t>pedestal</t>
        </is>
      </c>
      <c r="F60" t="inlineStr">
        <is>
          <t>NG.3</t>
        </is>
      </c>
      <c r="G60" t="inlineStr">
        <is>
          <t>6.03</t>
        </is>
      </c>
      <c r="H60" t="n">
        <v>47</v>
      </c>
      <c r="I60" t="n">
        <v>62.29</v>
      </c>
      <c r="J60" t="n">
        <v>-31.21</v>
      </c>
      <c r="K60" t="n">
        <v>15.27</v>
      </c>
      <c r="L60">
        <f>ROUND(SQRT((I60-I44)^2+(J60-J44)^2+(K60-K44)^2),2)</f>
        <v/>
      </c>
      <c r="M60" t="inlineStr">
        <is>
          <t>measured</t>
        </is>
      </c>
    </row>
    <row r="61">
      <c r="A61" t="inlineStr">
        <is>
          <t>23C_40RH_room</t>
        </is>
      </c>
      <c r="B61" t="inlineStr">
        <is>
          <t>23 C / 40%RH (room-temp arm)</t>
        </is>
      </c>
      <c r="C61" t="inlineStr">
        <is>
          <t>measured</t>
        </is>
      </c>
      <c r="D61" t="inlineStr">
        <is>
          <t>Malachite</t>
        </is>
      </c>
      <c r="E61" t="inlineStr">
        <is>
          <t>pedestal</t>
        </is>
      </c>
      <c r="F61" t="inlineStr">
        <is>
          <t>NG.3</t>
        </is>
      </c>
      <c r="G61" t="inlineStr">
        <is>
          <t>6.06</t>
        </is>
      </c>
      <c r="H61" t="n">
        <v>50</v>
      </c>
      <c r="I61" t="n">
        <v>61.35</v>
      </c>
      <c r="J61" t="n">
        <v>-30.24</v>
      </c>
      <c r="K61" t="n">
        <v>15.07</v>
      </c>
      <c r="L61">
        <f>ROUND(SQRT((I61-I44)^2+(J61-J44)^2+(K61-K44)^2),2)</f>
        <v/>
      </c>
      <c r="M61" t="inlineStr">
        <is>
          <t>measured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Malachite</t>
        </is>
      </c>
      <c r="E62" t="inlineStr">
        <is>
          <t>pedestal</t>
        </is>
      </c>
      <c r="F62" t="inlineStr">
        <is>
          <t>NG.3</t>
        </is>
      </c>
      <c r="G62" t="inlineStr">
        <is>
          <t>6.09</t>
        </is>
      </c>
      <c r="H62" t="n">
        <v>53</v>
      </c>
      <c r="I62" t="n">
        <v>61.13</v>
      </c>
      <c r="J62" t="n">
        <v>-30.06</v>
      </c>
      <c r="K62" t="n">
        <v>16.31</v>
      </c>
      <c r="L62">
        <f>ROUND(SQRT((I62-I44)^2+(J62-J44)^2+(K62-K44)^2),2)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Malachite</t>
        </is>
      </c>
      <c r="E63" t="inlineStr">
        <is>
          <t>pedestal</t>
        </is>
      </c>
      <c r="F63" t="inlineStr">
        <is>
          <t>NG.3</t>
        </is>
      </c>
      <c r="G63" t="inlineStr">
        <is>
          <t>6.13</t>
        </is>
      </c>
      <c r="H63" t="n">
        <v>57</v>
      </c>
      <c r="I63" t="n">
        <v>61.86</v>
      </c>
      <c r="J63" t="n">
        <v>-30.65</v>
      </c>
      <c r="K63" t="n">
        <v>14.54</v>
      </c>
      <c r="L63">
        <f>ROUND(SQRT((I63-I44)^2+(J63-J44)^2+(K63-K44)^2),2)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Malachite</t>
        </is>
      </c>
      <c r="E64" t="inlineStr">
        <is>
          <t>pedestal</t>
        </is>
      </c>
      <c r="F64" t="inlineStr">
        <is>
          <t>NG.3</t>
        </is>
      </c>
      <c r="G64" t="inlineStr">
        <is>
          <t>6.17</t>
        </is>
      </c>
      <c r="H64" t="n">
        <v>61</v>
      </c>
      <c r="I64" t="n">
        <v>60.99</v>
      </c>
      <c r="J64" t="n">
        <v>-30.65</v>
      </c>
      <c r="K64" t="n">
        <v>13.28</v>
      </c>
      <c r="L64">
        <f>ROUND(SQRT((I64-I44)^2+(J64-J44)^2+(K64-K44)^2),2)</f>
        <v/>
      </c>
      <c r="M64" t="inlineStr">
        <is>
          <t>measured</t>
        </is>
      </c>
    </row>
    <row r="65">
      <c r="A65" t="inlineStr">
        <is>
          <t>23C_40RH_room</t>
        </is>
      </c>
      <c r="B65" t="inlineStr">
        <is>
          <t>23 C / 40%RH (room-temp arm)</t>
        </is>
      </c>
      <c r="C65" t="inlineStr">
        <is>
          <t>measured</t>
        </is>
      </c>
      <c r="D65" t="inlineStr">
        <is>
          <t>Malachite</t>
        </is>
      </c>
      <c r="E65" t="inlineStr">
        <is>
          <t>block</t>
        </is>
      </c>
      <c r="F65" t="inlineStr">
        <is>
          <t>NTG.1</t>
        </is>
      </c>
      <c r="G65" t="inlineStr">
        <is>
          <t>4.17</t>
        </is>
      </c>
      <c r="H65" t="n">
        <v>0</v>
      </c>
      <c r="I65" t="n">
        <v>62.65</v>
      </c>
      <c r="J65" t="n">
        <v>-28.79</v>
      </c>
      <c r="K65" t="n">
        <v>13.52</v>
      </c>
      <c r="L65" t="n">
        <v>0</v>
      </c>
      <c r="M65" t="inlineStr">
        <is>
          <t>measured</t>
        </is>
      </c>
    </row>
    <row r="66">
      <c r="A66" t="inlineStr">
        <is>
          <t>23C_40RH_room</t>
        </is>
      </c>
      <c r="B66" t="inlineStr">
        <is>
          <t>23 C / 40%RH (room-temp arm)</t>
        </is>
      </c>
      <c r="C66" t="inlineStr">
        <is>
          <t>measured</t>
        </is>
      </c>
      <c r="D66" t="inlineStr">
        <is>
          <t>Malachite</t>
        </is>
      </c>
      <c r="E66" t="inlineStr">
        <is>
          <t>block</t>
        </is>
      </c>
      <c r="F66" t="inlineStr">
        <is>
          <t>NTG.1</t>
        </is>
      </c>
      <c r="G66" t="inlineStr">
        <is>
          <t>4.20</t>
        </is>
      </c>
      <c r="H66" t="n">
        <v>3</v>
      </c>
      <c r="I66" t="n">
        <v>62.02</v>
      </c>
      <c r="J66" t="n">
        <v>-29.61</v>
      </c>
      <c r="K66" t="n">
        <v>14.05</v>
      </c>
      <c r="L66">
        <f>ROUND(SQRT((I66-I65)^2+(J66-J65)^2+(K66-K65)^2),2)</f>
        <v/>
      </c>
      <c r="M66" t="inlineStr">
        <is>
          <t>measured</t>
        </is>
      </c>
    </row>
    <row r="67">
      <c r="A67" t="inlineStr">
        <is>
          <t>23C_40RH_room</t>
        </is>
      </c>
      <c r="B67" t="inlineStr">
        <is>
          <t>23 C / 40%RH (room-temp arm)</t>
        </is>
      </c>
      <c r="C67" t="inlineStr">
        <is>
          <t>measured</t>
        </is>
      </c>
      <c r="D67" t="inlineStr">
        <is>
          <t>Malachite</t>
        </is>
      </c>
      <c r="E67" t="inlineStr">
        <is>
          <t>block</t>
        </is>
      </c>
      <c r="F67" t="inlineStr">
        <is>
          <t>NTG.1</t>
        </is>
      </c>
      <c r="G67" t="inlineStr">
        <is>
          <t>4.23</t>
        </is>
      </c>
      <c r="H67" t="n">
        <v>6</v>
      </c>
      <c r="I67" t="n">
        <v>62.01</v>
      </c>
      <c r="J67" t="n">
        <v>-29.83</v>
      </c>
      <c r="K67" t="n">
        <v>14.06</v>
      </c>
      <c r="L67">
        <f>ROUND(SQRT((I67-I65)^2+(J67-J65)^2+(K67-K65)^2),2)</f>
        <v/>
      </c>
      <c r="M67" t="inlineStr">
        <is>
          <t>measured</t>
        </is>
      </c>
    </row>
    <row r="68">
      <c r="A68" t="inlineStr">
        <is>
          <t>23C_40RH_room</t>
        </is>
      </c>
      <c r="B68" t="inlineStr">
        <is>
          <t>23 C / 40%RH (room-temp arm)</t>
        </is>
      </c>
      <c r="C68" t="inlineStr">
        <is>
          <t>measured</t>
        </is>
      </c>
      <c r="D68" t="inlineStr">
        <is>
          <t>Malachite</t>
        </is>
      </c>
      <c r="E68" t="inlineStr">
        <is>
          <t>block</t>
        </is>
      </c>
      <c r="F68" t="inlineStr">
        <is>
          <t>NTG.1</t>
        </is>
      </c>
      <c r="G68" t="inlineStr">
        <is>
          <t>4.26</t>
        </is>
      </c>
      <c r="H68" t="n">
        <v>9</v>
      </c>
      <c r="I68" t="n">
        <v>60.88</v>
      </c>
      <c r="J68" t="n">
        <v>-28.23</v>
      </c>
      <c r="K68" t="n">
        <v>12.34</v>
      </c>
      <c r="L68">
        <f>ROUND(SQRT((I68-I65)^2+(J68-J65)^2+(K68-K65)^2),2)</f>
        <v/>
      </c>
      <c r="M68" t="inlineStr">
        <is>
          <t>measured</t>
        </is>
      </c>
    </row>
    <row r="69">
      <c r="A69" t="inlineStr">
        <is>
          <t>23C_40RH_room</t>
        </is>
      </c>
      <c r="B69" t="inlineStr">
        <is>
          <t>23 C / 40%RH (room-temp arm)</t>
        </is>
      </c>
      <c r="C69" t="inlineStr">
        <is>
          <t>measured</t>
        </is>
      </c>
      <c r="D69" t="inlineStr">
        <is>
          <t>Malachite</t>
        </is>
      </c>
      <c r="E69" t="inlineStr">
        <is>
          <t>block</t>
        </is>
      </c>
      <c r="F69" t="inlineStr">
        <is>
          <t>NTG.1</t>
        </is>
      </c>
      <c r="G69" t="inlineStr">
        <is>
          <t>4.29</t>
        </is>
      </c>
      <c r="H69" t="n">
        <v>12</v>
      </c>
      <c r="I69" t="n">
        <v>61.78</v>
      </c>
      <c r="J69" t="n">
        <v>-28.92</v>
      </c>
      <c r="K69" t="n">
        <v>11.89</v>
      </c>
      <c r="L69">
        <f>ROUND(SQRT((I69-I65)^2+(J69-J65)^2+(K69-K65)^2),2)</f>
        <v/>
      </c>
      <c r="M69" t="inlineStr">
        <is>
          <t>measured</t>
        </is>
      </c>
    </row>
    <row r="70">
      <c r="A70" t="inlineStr">
        <is>
          <t>23C_40RH_room</t>
        </is>
      </c>
      <c r="B70" t="inlineStr">
        <is>
          <t>23 C / 40%RH (room-temp arm)</t>
        </is>
      </c>
      <c r="C70" t="inlineStr">
        <is>
          <t>measured</t>
        </is>
      </c>
      <c r="D70" t="inlineStr">
        <is>
          <t>Malachite</t>
        </is>
      </c>
      <c r="E70" t="inlineStr">
        <is>
          <t>block</t>
        </is>
      </c>
      <c r="F70" t="inlineStr">
        <is>
          <t>NTG.1</t>
        </is>
      </c>
      <c r="G70" t="inlineStr">
        <is>
          <t>5.02</t>
        </is>
      </c>
      <c r="H70" t="n">
        <v>15</v>
      </c>
      <c r="I70" t="n">
        <v>61.77</v>
      </c>
      <c r="J70" t="n">
        <v>-29.36</v>
      </c>
      <c r="K70" t="n">
        <v>14.15</v>
      </c>
      <c r="L70">
        <f>ROUND(SQRT((I70-I65)^2+(J70-J65)^2+(K70-K65)^2),2)</f>
        <v/>
      </c>
      <c r="M70" t="inlineStr">
        <is>
          <t>measured</t>
        </is>
      </c>
    </row>
    <row r="71">
      <c r="A71" t="inlineStr">
        <is>
          <t>23C_40RH_room</t>
        </is>
      </c>
      <c r="B71" t="inlineStr">
        <is>
          <t>23 C / 40%RH (room-temp arm)</t>
        </is>
      </c>
      <c r="C71" t="inlineStr">
        <is>
          <t>measured</t>
        </is>
      </c>
      <c r="D71" t="inlineStr">
        <is>
          <t>Malachite</t>
        </is>
      </c>
      <c r="E71" t="inlineStr">
        <is>
          <t>block</t>
        </is>
      </c>
      <c r="F71" t="inlineStr">
        <is>
          <t>NTG.1</t>
        </is>
      </c>
      <c r="G71" t="inlineStr">
        <is>
          <t>5.05</t>
        </is>
      </c>
      <c r="H71" t="n">
        <v>18</v>
      </c>
      <c r="I71" t="n">
        <v>62.22</v>
      </c>
      <c r="J71" t="n">
        <v>-28.69</v>
      </c>
      <c r="K71" t="n">
        <v>14.26</v>
      </c>
      <c r="L71">
        <f>ROUND(SQRT((I71-I65)^2+(J71-J65)^2+(K71-K65)^2),2)</f>
        <v/>
      </c>
      <c r="M71" t="inlineStr">
        <is>
          <t>measured</t>
        </is>
      </c>
    </row>
    <row r="72">
      <c r="A72" t="inlineStr">
        <is>
          <t>23C_40RH_room</t>
        </is>
      </c>
      <c r="B72" t="inlineStr">
        <is>
          <t>23 C / 40%RH (room-temp arm)</t>
        </is>
      </c>
      <c r="C72" t="inlineStr">
        <is>
          <t>measured</t>
        </is>
      </c>
      <c r="D72" t="inlineStr">
        <is>
          <t>Malachite</t>
        </is>
      </c>
      <c r="E72" t="inlineStr">
        <is>
          <t>block</t>
        </is>
      </c>
      <c r="F72" t="inlineStr">
        <is>
          <t>NTG.1</t>
        </is>
      </c>
      <c r="G72" t="inlineStr">
        <is>
          <t>5.08</t>
        </is>
      </c>
      <c r="H72" t="n">
        <v>21</v>
      </c>
      <c r="I72" t="n">
        <v>63.09</v>
      </c>
      <c r="J72" t="n">
        <v>-27.8</v>
      </c>
      <c r="K72" t="n">
        <v>12.7</v>
      </c>
      <c r="L72">
        <f>ROUND(SQRT((I72-I65)^2+(J72-J65)^2+(K72-K65)^2),2)</f>
        <v/>
      </c>
      <c r="M72" t="inlineStr">
        <is>
          <t>measured</t>
        </is>
      </c>
    </row>
    <row r="73">
      <c r="A73" t="inlineStr">
        <is>
          <t>23C_40RH_room</t>
        </is>
      </c>
      <c r="B73" t="inlineStr">
        <is>
          <t>23 C / 40%RH (room-temp arm)</t>
        </is>
      </c>
      <c r="C73" t="inlineStr">
        <is>
          <t>measured</t>
        </is>
      </c>
      <c r="D73" t="inlineStr">
        <is>
          <t>Malachite</t>
        </is>
      </c>
      <c r="E73" t="inlineStr">
        <is>
          <t>block</t>
        </is>
      </c>
      <c r="F73" t="inlineStr">
        <is>
          <t>NTG.1</t>
        </is>
      </c>
      <c r="G73" t="inlineStr">
        <is>
          <t>5.11</t>
        </is>
      </c>
      <c r="H73" t="n">
        <v>24</v>
      </c>
      <c r="I73" t="n">
        <v>62.09</v>
      </c>
      <c r="J73" t="n">
        <v>-30.16</v>
      </c>
      <c r="K73" t="n">
        <v>12.1</v>
      </c>
      <c r="L73">
        <f>ROUND(SQRT((I73-I65)^2+(J73-J65)^2+(K73-K65)^2),2)</f>
        <v/>
      </c>
      <c r="M73" t="inlineStr">
        <is>
          <t>measured</t>
        </is>
      </c>
    </row>
    <row r="74">
      <c r="A74" t="inlineStr">
        <is>
          <t>23C_40RH_room</t>
        </is>
      </c>
      <c r="B74" t="inlineStr">
        <is>
          <t>23 C / 40%RH (room-temp arm)</t>
        </is>
      </c>
      <c r="C74" t="inlineStr">
        <is>
          <t>measured</t>
        </is>
      </c>
      <c r="D74" t="inlineStr">
        <is>
          <t>Malachite</t>
        </is>
      </c>
      <c r="E74" t="inlineStr">
        <is>
          <t>block</t>
        </is>
      </c>
      <c r="F74" t="inlineStr">
        <is>
          <t>NTG.1</t>
        </is>
      </c>
      <c r="G74" t="inlineStr">
        <is>
          <t>5.12</t>
        </is>
      </c>
      <c r="H74" t="n">
        <v>25</v>
      </c>
      <c r="I74" t="n">
        <v>61.52</v>
      </c>
      <c r="J74" t="n">
        <v>-29.6</v>
      </c>
      <c r="K74" t="n">
        <v>13.47</v>
      </c>
      <c r="L74">
        <f>ROUND(SQRT((I74-I65)^2+(J74-J65)^2+(K74-K65)^2),2)</f>
        <v/>
      </c>
      <c r="M74" t="inlineStr">
        <is>
          <t>measured</t>
        </is>
      </c>
    </row>
    <row r="75">
      <c r="A75" t="inlineStr">
        <is>
          <t>23C_40RH_room</t>
        </is>
      </c>
      <c r="B75" t="inlineStr">
        <is>
          <t>23 C / 40%RH (room-temp arm)</t>
        </is>
      </c>
      <c r="C75" t="inlineStr">
        <is>
          <t>measured</t>
        </is>
      </c>
      <c r="D75" t="inlineStr">
        <is>
          <t>Malachite</t>
        </is>
      </c>
      <c r="E75" t="inlineStr">
        <is>
          <t>block</t>
        </is>
      </c>
      <c r="F75" t="inlineStr">
        <is>
          <t>NTG.1</t>
        </is>
      </c>
      <c r="G75" t="inlineStr">
        <is>
          <t>5.14</t>
        </is>
      </c>
      <c r="H75" t="n">
        <v>27</v>
      </c>
      <c r="I75" t="n">
        <v>62.17</v>
      </c>
      <c r="J75" t="n">
        <v>-29.18</v>
      </c>
      <c r="K75" t="n">
        <v>14.04</v>
      </c>
      <c r="L75">
        <f>ROUND(SQRT((I75-I65)^2+(J75-J65)^2+(K75-K65)^2),2)</f>
        <v/>
      </c>
      <c r="M75" t="inlineStr">
        <is>
          <t>measured</t>
        </is>
      </c>
    </row>
    <row r="76">
      <c r="A76" t="inlineStr">
        <is>
          <t>23C_40RH_room</t>
        </is>
      </c>
      <c r="B76" t="inlineStr">
        <is>
          <t>23 C / 40%RH (room-temp arm)</t>
        </is>
      </c>
      <c r="C76" t="inlineStr">
        <is>
          <t>measured</t>
        </is>
      </c>
      <c r="D76" t="inlineStr">
        <is>
          <t>Malachite</t>
        </is>
      </c>
      <c r="E76" t="inlineStr">
        <is>
          <t>block</t>
        </is>
      </c>
      <c r="F76" t="inlineStr">
        <is>
          <t>NTG.1</t>
        </is>
      </c>
      <c r="G76" t="inlineStr">
        <is>
          <t>5.18</t>
        </is>
      </c>
      <c r="H76" t="n">
        <v>31</v>
      </c>
      <c r="I76" t="n">
        <v>62.88</v>
      </c>
      <c r="J76" t="n">
        <v>-27.48</v>
      </c>
      <c r="K76" t="n">
        <v>14.62</v>
      </c>
      <c r="L76">
        <f>ROUND(SQRT((I76-I65)^2+(J76-J65)^2+(K76-K65)^2),2)</f>
        <v/>
      </c>
      <c r="M76" t="inlineStr">
        <is>
          <t>measured</t>
        </is>
      </c>
    </row>
    <row r="77">
      <c r="A77" t="inlineStr">
        <is>
          <t>23C_40RH_room</t>
        </is>
      </c>
      <c r="B77" t="inlineStr">
        <is>
          <t>23 C / 40%RH (room-temp arm)</t>
        </is>
      </c>
      <c r="C77" t="inlineStr">
        <is>
          <t>measured</t>
        </is>
      </c>
      <c r="D77" t="inlineStr">
        <is>
          <t>Malachite</t>
        </is>
      </c>
      <c r="E77" t="inlineStr">
        <is>
          <t>block</t>
        </is>
      </c>
      <c r="F77" t="inlineStr">
        <is>
          <t>NTG.1</t>
        </is>
      </c>
      <c r="G77" t="inlineStr">
        <is>
          <t>5.21</t>
        </is>
      </c>
      <c r="H77" t="n">
        <v>34</v>
      </c>
      <c r="I77" t="n">
        <v>61.42</v>
      </c>
      <c r="J77" t="n">
        <v>-28.27</v>
      </c>
      <c r="K77" t="n">
        <v>13.71</v>
      </c>
      <c r="L77">
        <f>ROUND(SQRT((I77-I65)^2+(J77-J65)^2+(K77-K65)^2),2)</f>
        <v/>
      </c>
      <c r="M77" t="inlineStr">
        <is>
          <t>measured</t>
        </is>
      </c>
    </row>
    <row r="78">
      <c r="A78" t="inlineStr">
        <is>
          <t>23C_40RH_room</t>
        </is>
      </c>
      <c r="B78" t="inlineStr">
        <is>
          <t>23 C / 40%RH (room-temp arm)</t>
        </is>
      </c>
      <c r="C78" t="inlineStr">
        <is>
          <t>measured</t>
        </is>
      </c>
      <c r="D78" t="inlineStr">
        <is>
          <t>Malachite</t>
        </is>
      </c>
      <c r="E78" t="inlineStr">
        <is>
          <t>block</t>
        </is>
      </c>
      <c r="F78" t="inlineStr">
        <is>
          <t>NTG.1</t>
        </is>
      </c>
      <c r="G78" t="inlineStr">
        <is>
          <t>5.24</t>
        </is>
      </c>
      <c r="H78" t="n">
        <v>37</v>
      </c>
      <c r="I78" t="n">
        <v>61.42</v>
      </c>
      <c r="J78" t="n">
        <v>-27.91</v>
      </c>
      <c r="K78" t="n">
        <v>13.08</v>
      </c>
      <c r="L78">
        <f>ROUND(SQRT((I78-I65)^2+(J78-J65)^2+(K78-K65)^2),2)</f>
        <v/>
      </c>
      <c r="M78" t="inlineStr">
        <is>
          <t>measured</t>
        </is>
      </c>
    </row>
    <row r="79">
      <c r="A79" t="inlineStr">
        <is>
          <t>23C_40RH_room</t>
        </is>
      </c>
      <c r="B79" t="inlineStr">
        <is>
          <t>23 C / 40%RH (room-temp arm)</t>
        </is>
      </c>
      <c r="C79" t="inlineStr">
        <is>
          <t>measured</t>
        </is>
      </c>
      <c r="D79" t="inlineStr">
        <is>
          <t>Malachite</t>
        </is>
      </c>
      <c r="E79" t="inlineStr">
        <is>
          <t>block</t>
        </is>
      </c>
      <c r="F79" t="inlineStr">
        <is>
          <t>NTG.1</t>
        </is>
      </c>
      <c r="G79" t="inlineStr">
        <is>
          <t>5.28</t>
        </is>
      </c>
      <c r="H79" t="n">
        <v>41</v>
      </c>
      <c r="I79" t="n">
        <v>62.38</v>
      </c>
      <c r="J79" t="n">
        <v>-29.21</v>
      </c>
      <c r="K79" t="n">
        <v>12.69</v>
      </c>
      <c r="L79">
        <f>ROUND(SQRT((I79-I65)^2+(J79-J65)^2+(K79-K65)^2),2)</f>
        <v/>
      </c>
      <c r="M79" t="inlineStr">
        <is>
          <t>measured</t>
        </is>
      </c>
    </row>
    <row r="80">
      <c r="A80" t="inlineStr">
        <is>
          <t>23C_40RH_room</t>
        </is>
      </c>
      <c r="B80" t="inlineStr">
        <is>
          <t>23 C / 40%RH (room-temp arm)</t>
        </is>
      </c>
      <c r="C80" t="inlineStr">
        <is>
          <t>measured</t>
        </is>
      </c>
      <c r="D80" t="inlineStr">
        <is>
          <t>Malachite</t>
        </is>
      </c>
      <c r="E80" t="inlineStr">
        <is>
          <t>block</t>
        </is>
      </c>
      <c r="F80" t="inlineStr">
        <is>
          <t>NTG.1</t>
        </is>
      </c>
      <c r="G80" t="inlineStr">
        <is>
          <t>5.31</t>
        </is>
      </c>
      <c r="H80" t="n">
        <v>44</v>
      </c>
      <c r="I80" t="n">
        <v>61.79</v>
      </c>
      <c r="J80" t="n">
        <v>-29.16</v>
      </c>
      <c r="K80" t="n">
        <v>13.31</v>
      </c>
      <c r="L80">
        <f>ROUND(SQRT((I80-I65)^2+(J80-J65)^2+(K80-K65)^2),2)</f>
        <v/>
      </c>
      <c r="M80" t="inlineStr">
        <is>
          <t>measured</t>
        </is>
      </c>
    </row>
    <row r="81">
      <c r="A81" t="inlineStr">
        <is>
          <t>23C_40RH_room</t>
        </is>
      </c>
      <c r="B81" t="inlineStr">
        <is>
          <t>23 C / 40%RH (room-temp arm)</t>
        </is>
      </c>
      <c r="C81" t="inlineStr">
        <is>
          <t>measured</t>
        </is>
      </c>
      <c r="D81" t="inlineStr">
        <is>
          <t>Malachite</t>
        </is>
      </c>
      <c r="E81" t="inlineStr">
        <is>
          <t>block</t>
        </is>
      </c>
      <c r="F81" t="inlineStr">
        <is>
          <t>NTG.1</t>
        </is>
      </c>
      <c r="G81" t="inlineStr">
        <is>
          <t>6.03</t>
        </is>
      </c>
      <c r="H81" t="n">
        <v>47</v>
      </c>
      <c r="I81" t="n">
        <v>62.35</v>
      </c>
      <c r="J81" t="n">
        <v>-28.04</v>
      </c>
      <c r="K81" t="n">
        <v>13.08</v>
      </c>
      <c r="L81">
        <f>ROUND(SQRT((I81-I65)^2+(J81-J65)^2+(K81-K65)^2),2)</f>
        <v/>
      </c>
      <c r="M81" t="inlineStr">
        <is>
          <t>measured</t>
        </is>
      </c>
    </row>
    <row r="82">
      <c r="A82" t="inlineStr">
        <is>
          <t>23C_40RH_room</t>
        </is>
      </c>
      <c r="B82" t="inlineStr">
        <is>
          <t>23 C / 40%RH (room-temp arm)</t>
        </is>
      </c>
      <c r="C82" t="inlineStr">
        <is>
          <t>measured</t>
        </is>
      </c>
      <c r="D82" t="inlineStr">
        <is>
          <t>Malachite</t>
        </is>
      </c>
      <c r="E82" t="inlineStr">
        <is>
          <t>block</t>
        </is>
      </c>
      <c r="F82" t="inlineStr">
        <is>
          <t>NTG.1</t>
        </is>
      </c>
      <c r="G82" t="inlineStr">
        <is>
          <t>6.06</t>
        </is>
      </c>
      <c r="H82" t="n">
        <v>50</v>
      </c>
      <c r="I82" t="n">
        <v>61.84</v>
      </c>
      <c r="J82" t="n">
        <v>-28.28</v>
      </c>
      <c r="K82" t="n">
        <v>12.56</v>
      </c>
      <c r="L82">
        <f>ROUND(SQRT((I82-I65)^2+(J82-J65)^2+(K82-K65)^2),2)</f>
        <v/>
      </c>
      <c r="M82" t="inlineStr">
        <is>
          <t>measured</t>
        </is>
      </c>
    </row>
    <row r="83">
      <c r="A83" t="inlineStr">
        <is>
          <t>23C_40RH_room</t>
        </is>
      </c>
      <c r="B83" t="inlineStr">
        <is>
          <t>23 C / 40%RH (room-temp arm)</t>
        </is>
      </c>
      <c r="C83" t="inlineStr">
        <is>
          <t>measured</t>
        </is>
      </c>
      <c r="D83" t="inlineStr">
        <is>
          <t>Malachite</t>
        </is>
      </c>
      <c r="E83" t="inlineStr">
        <is>
          <t>block</t>
        </is>
      </c>
      <c r="F83" t="inlineStr">
        <is>
          <t>NTG.1</t>
        </is>
      </c>
      <c r="G83" t="inlineStr">
        <is>
          <t>6.09</t>
        </is>
      </c>
      <c r="H83" t="n">
        <v>53</v>
      </c>
      <c r="I83" t="n">
        <v>62.29</v>
      </c>
      <c r="J83" t="n">
        <v>-27.91</v>
      </c>
      <c r="K83" t="n">
        <v>14.69</v>
      </c>
      <c r="L83">
        <f>ROUND(SQRT((I83-I65)^2+(J83-J65)^2+(K83-K65)^2),2)</f>
        <v/>
      </c>
      <c r="M83" t="inlineStr">
        <is>
          <t>measured</t>
        </is>
      </c>
    </row>
    <row r="84">
      <c r="A84" t="inlineStr">
        <is>
          <t>23C_40RH_room</t>
        </is>
      </c>
      <c r="B84" t="inlineStr">
        <is>
          <t>23 C / 40%RH (room-temp arm)</t>
        </is>
      </c>
      <c r="C84" t="inlineStr">
        <is>
          <t>measured</t>
        </is>
      </c>
      <c r="D84" t="inlineStr">
        <is>
          <t>Malachite</t>
        </is>
      </c>
      <c r="E84" t="inlineStr">
        <is>
          <t>block</t>
        </is>
      </c>
      <c r="F84" t="inlineStr">
        <is>
          <t>NTG.1</t>
        </is>
      </c>
      <c r="G84" t="inlineStr">
        <is>
          <t>6.13</t>
        </is>
      </c>
      <c r="H84" t="n">
        <v>57</v>
      </c>
      <c r="I84" t="n">
        <v>61.01</v>
      </c>
      <c r="J84" t="n">
        <v>-28.39</v>
      </c>
      <c r="K84" t="n">
        <v>14.49</v>
      </c>
      <c r="L84">
        <f>ROUND(SQRT((I84-I65)^2+(J84-J65)^2+(K84-K65)^2),2)</f>
        <v/>
      </c>
      <c r="M84" t="inlineStr">
        <is>
          <t>measured</t>
        </is>
      </c>
    </row>
    <row r="85">
      <c r="A85" t="inlineStr">
        <is>
          <t>23C_40RH_room</t>
        </is>
      </c>
      <c r="B85" t="inlineStr">
        <is>
          <t>23 C / 40%RH (room-temp arm)</t>
        </is>
      </c>
      <c r="C85" t="inlineStr">
        <is>
          <t>measured</t>
        </is>
      </c>
      <c r="D85" t="inlineStr">
        <is>
          <t>Malachite</t>
        </is>
      </c>
      <c r="E85" t="inlineStr">
        <is>
          <t>block</t>
        </is>
      </c>
      <c r="F85" t="inlineStr">
        <is>
          <t>NTG.1</t>
        </is>
      </c>
      <c r="G85" t="inlineStr">
        <is>
          <t>6.17</t>
        </is>
      </c>
      <c r="H85" t="n">
        <v>61</v>
      </c>
      <c r="I85" t="n">
        <v>61.66</v>
      </c>
      <c r="J85" t="n">
        <v>-28.03</v>
      </c>
      <c r="K85" t="n">
        <v>14.01</v>
      </c>
      <c r="L85">
        <f>ROUND(SQRT((I85-I65)^2+(J85-J65)^2+(K85-K65)^2),2)</f>
        <v/>
      </c>
      <c r="M85" t="inlineStr">
        <is>
          <t>measured</t>
        </is>
      </c>
    </row>
    <row r="86">
      <c r="A86" t="inlineStr">
        <is>
          <t>23C_40RH_room</t>
        </is>
      </c>
      <c r="B86" t="inlineStr">
        <is>
          <t>23 C / 40%RH (room-temp arm)</t>
        </is>
      </c>
      <c r="C86" t="inlineStr">
        <is>
          <t>measured</t>
        </is>
      </c>
      <c r="D86" t="inlineStr">
        <is>
          <t>Malachite</t>
        </is>
      </c>
      <c r="E86" t="inlineStr">
        <is>
          <t>block</t>
        </is>
      </c>
      <c r="F86" t="inlineStr">
        <is>
          <t>NTG.2</t>
        </is>
      </c>
      <c r="G86" t="inlineStr">
        <is>
          <t>4.17</t>
        </is>
      </c>
      <c r="H86" t="n">
        <v>0</v>
      </c>
      <c r="I86" t="n">
        <v>61.05</v>
      </c>
      <c r="J86" t="n">
        <v>-31.3</v>
      </c>
      <c r="K86" t="n">
        <v>15.01</v>
      </c>
      <c r="L86" t="n">
        <v>0</v>
      </c>
      <c r="M86" t="inlineStr">
        <is>
          <t>measured</t>
        </is>
      </c>
    </row>
    <row r="87">
      <c r="A87" t="inlineStr">
        <is>
          <t>23C_40RH_room</t>
        </is>
      </c>
      <c r="B87" t="inlineStr">
        <is>
          <t>23 C / 40%RH (room-temp arm)</t>
        </is>
      </c>
      <c r="C87" t="inlineStr">
        <is>
          <t>measured</t>
        </is>
      </c>
      <c r="D87" t="inlineStr">
        <is>
          <t>Malachite</t>
        </is>
      </c>
      <c r="E87" t="inlineStr">
        <is>
          <t>block</t>
        </is>
      </c>
      <c r="F87" t="inlineStr">
        <is>
          <t>NTG.2</t>
        </is>
      </c>
      <c r="G87" t="inlineStr">
        <is>
          <t>4.20</t>
        </is>
      </c>
      <c r="H87" t="n">
        <v>3</v>
      </c>
      <c r="I87" t="n">
        <v>61.7</v>
      </c>
      <c r="J87" t="n">
        <v>-31.24</v>
      </c>
      <c r="K87" t="n">
        <v>15.05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23C_40RH_room</t>
        </is>
      </c>
      <c r="B88" t="inlineStr">
        <is>
          <t>23 C / 40%RH (room-temp arm)</t>
        </is>
      </c>
      <c r="C88" t="inlineStr">
        <is>
          <t>measured</t>
        </is>
      </c>
      <c r="D88" t="inlineStr">
        <is>
          <t>Malachite</t>
        </is>
      </c>
      <c r="E88" t="inlineStr">
        <is>
          <t>block</t>
        </is>
      </c>
      <c r="F88" t="inlineStr">
        <is>
          <t>NTG.2</t>
        </is>
      </c>
      <c r="G88" t="inlineStr">
        <is>
          <t>4.23</t>
        </is>
      </c>
      <c r="H88" t="n">
        <v>6</v>
      </c>
      <c r="I88" t="n">
        <v>61.61</v>
      </c>
      <c r="J88" t="n">
        <v>-32.18</v>
      </c>
      <c r="K88" t="n">
        <v>14.44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23C_40RH_room</t>
        </is>
      </c>
      <c r="B89" t="inlineStr">
        <is>
          <t>23 C / 40%RH (room-temp arm)</t>
        </is>
      </c>
      <c r="C89" t="inlineStr">
        <is>
          <t>measured</t>
        </is>
      </c>
      <c r="D89" t="inlineStr">
        <is>
          <t>Malachite</t>
        </is>
      </c>
      <c r="E89" t="inlineStr">
        <is>
          <t>block</t>
        </is>
      </c>
      <c r="F89" t="inlineStr">
        <is>
          <t>NTG.2</t>
        </is>
      </c>
      <c r="G89" t="inlineStr">
        <is>
          <t>4.26</t>
        </is>
      </c>
      <c r="H89" t="n">
        <v>9</v>
      </c>
      <c r="I89" t="n">
        <v>61.52</v>
      </c>
      <c r="J89" t="n">
        <v>-31.28</v>
      </c>
      <c r="K89" t="n">
        <v>14.28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23C_40RH_room</t>
        </is>
      </c>
      <c r="B90" t="inlineStr">
        <is>
          <t>23 C / 40%RH (room-temp arm)</t>
        </is>
      </c>
      <c r="C90" t="inlineStr">
        <is>
          <t>measured</t>
        </is>
      </c>
      <c r="D90" t="inlineStr">
        <is>
          <t>Malachite</t>
        </is>
      </c>
      <c r="E90" t="inlineStr">
        <is>
          <t>block</t>
        </is>
      </c>
      <c r="F90" t="inlineStr">
        <is>
          <t>NTG.2</t>
        </is>
      </c>
      <c r="G90" t="inlineStr">
        <is>
          <t>4.29</t>
        </is>
      </c>
      <c r="H90" t="n">
        <v>12</v>
      </c>
      <c r="I90" t="n">
        <v>62.14</v>
      </c>
      <c r="J90" t="n">
        <v>-31.29</v>
      </c>
      <c r="K90" t="n">
        <v>15.29</v>
      </c>
      <c r="L90">
        <f>ROUND(SQRT((I90-I86)^2+(J90-J86)^2+(K90-K86)^2),2)</f>
        <v/>
      </c>
      <c r="M90" t="inlineStr">
        <is>
          <t>measured</t>
        </is>
      </c>
    </row>
    <row r="91">
      <c r="A91" t="inlineStr">
        <is>
          <t>23C_40RH_room</t>
        </is>
      </c>
      <c r="B91" t="inlineStr">
        <is>
          <t>23 C / 40%RH (room-temp arm)</t>
        </is>
      </c>
      <c r="C91" t="inlineStr">
        <is>
          <t>measured</t>
        </is>
      </c>
      <c r="D91" t="inlineStr">
        <is>
          <t>Malachite</t>
        </is>
      </c>
      <c r="E91" t="inlineStr">
        <is>
          <t>block</t>
        </is>
      </c>
      <c r="F91" t="inlineStr">
        <is>
          <t>NTG.2</t>
        </is>
      </c>
      <c r="G91" t="inlineStr">
        <is>
          <t>5.02</t>
        </is>
      </c>
      <c r="H91" t="n">
        <v>15</v>
      </c>
      <c r="I91" t="n">
        <v>61.77</v>
      </c>
      <c r="J91" t="n">
        <v>-29.95</v>
      </c>
      <c r="K91" t="n">
        <v>15.32</v>
      </c>
      <c r="L91">
        <f>ROUND(SQRT((I91-I86)^2+(J91-J86)^2+(K91-K86)^2),2)</f>
        <v/>
      </c>
      <c r="M91" t="inlineStr">
        <is>
          <t>measured</t>
        </is>
      </c>
    </row>
    <row r="92">
      <c r="A92" t="inlineStr">
        <is>
          <t>23C_40RH_room</t>
        </is>
      </c>
      <c r="B92" t="inlineStr">
        <is>
          <t>23 C / 40%RH (room-temp arm)</t>
        </is>
      </c>
      <c r="C92" t="inlineStr">
        <is>
          <t>measured</t>
        </is>
      </c>
      <c r="D92" t="inlineStr">
        <is>
          <t>Malachite</t>
        </is>
      </c>
      <c r="E92" t="inlineStr">
        <is>
          <t>block</t>
        </is>
      </c>
      <c r="F92" t="inlineStr">
        <is>
          <t>NTG.2</t>
        </is>
      </c>
      <c r="G92" t="inlineStr">
        <is>
          <t>5.05</t>
        </is>
      </c>
      <c r="H92" t="n">
        <v>18</v>
      </c>
      <c r="I92" t="n">
        <v>61.9</v>
      </c>
      <c r="J92" t="n">
        <v>-30.57</v>
      </c>
      <c r="K92" t="n">
        <v>15.96</v>
      </c>
      <c r="L92">
        <f>ROUND(SQRT((I92-I86)^2+(J92-J86)^2+(K92-K86)^2),2)</f>
        <v/>
      </c>
      <c r="M92" t="inlineStr">
        <is>
          <t>measured</t>
        </is>
      </c>
    </row>
    <row r="93">
      <c r="A93" t="inlineStr">
        <is>
          <t>23C_40RH_room</t>
        </is>
      </c>
      <c r="B93" t="inlineStr">
        <is>
          <t>23 C / 40%RH (room-temp arm)</t>
        </is>
      </c>
      <c r="C93" t="inlineStr">
        <is>
          <t>measured</t>
        </is>
      </c>
      <c r="D93" t="inlineStr">
        <is>
          <t>Malachite</t>
        </is>
      </c>
      <c r="E93" t="inlineStr">
        <is>
          <t>block</t>
        </is>
      </c>
      <c r="F93" t="inlineStr">
        <is>
          <t>NTG.2</t>
        </is>
      </c>
      <c r="G93" t="inlineStr">
        <is>
          <t>5.08</t>
        </is>
      </c>
      <c r="H93" t="n">
        <v>21</v>
      </c>
      <c r="I93" t="n">
        <v>61.88</v>
      </c>
      <c r="J93" t="n">
        <v>-31.17</v>
      </c>
      <c r="K93" t="n">
        <v>15.84</v>
      </c>
      <c r="L93">
        <f>ROUND(SQRT((I93-I86)^2+(J93-J86)^2+(K93-K86)^2),2)</f>
        <v/>
      </c>
      <c r="M93" t="inlineStr">
        <is>
          <t>measured</t>
        </is>
      </c>
    </row>
    <row r="94">
      <c r="A94" t="inlineStr">
        <is>
          <t>23C_40RH_room</t>
        </is>
      </c>
      <c r="B94" t="inlineStr">
        <is>
          <t>23 C / 40%RH (room-temp arm)</t>
        </is>
      </c>
      <c r="C94" t="inlineStr">
        <is>
          <t>measured</t>
        </is>
      </c>
      <c r="D94" t="inlineStr">
        <is>
          <t>Malachite</t>
        </is>
      </c>
      <c r="E94" t="inlineStr">
        <is>
          <t>block</t>
        </is>
      </c>
      <c r="F94" t="inlineStr">
        <is>
          <t>NTG.2</t>
        </is>
      </c>
      <c r="G94" t="inlineStr">
        <is>
          <t>5.11</t>
        </is>
      </c>
      <c r="H94" t="n">
        <v>24</v>
      </c>
      <c r="I94" t="n">
        <v>61.73</v>
      </c>
      <c r="J94" t="n">
        <v>-30.99</v>
      </c>
      <c r="K94" t="n">
        <v>14.99</v>
      </c>
      <c r="L94">
        <f>ROUND(SQRT((I94-I86)^2+(J94-J86)^2+(K94-K86)^2),2)</f>
        <v/>
      </c>
      <c r="M94" t="inlineStr">
        <is>
          <t>measured</t>
        </is>
      </c>
    </row>
    <row r="95">
      <c r="A95" t="inlineStr">
        <is>
          <t>23C_40RH_room</t>
        </is>
      </c>
      <c r="B95" t="inlineStr">
        <is>
          <t>23 C / 40%RH (room-temp arm)</t>
        </is>
      </c>
      <c r="C95" t="inlineStr">
        <is>
          <t>measured</t>
        </is>
      </c>
      <c r="D95" t="inlineStr">
        <is>
          <t>Malachite</t>
        </is>
      </c>
      <c r="E95" t="inlineStr">
        <is>
          <t>block</t>
        </is>
      </c>
      <c r="F95" t="inlineStr">
        <is>
          <t>NTG.2</t>
        </is>
      </c>
      <c r="G95" t="inlineStr">
        <is>
          <t>5.12</t>
        </is>
      </c>
      <c r="H95" t="n">
        <v>25</v>
      </c>
      <c r="I95" t="n">
        <v>60.26</v>
      </c>
      <c r="J95" t="n">
        <v>-31.12</v>
      </c>
      <c r="K95" t="n">
        <v>14.21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23C_40RH_room</t>
        </is>
      </c>
      <c r="B96" t="inlineStr">
        <is>
          <t>23 C / 40%RH (room-temp arm)</t>
        </is>
      </c>
      <c r="C96" t="inlineStr">
        <is>
          <t>measured</t>
        </is>
      </c>
      <c r="D96" t="inlineStr">
        <is>
          <t>Malachite</t>
        </is>
      </c>
      <c r="E96" t="inlineStr">
        <is>
          <t>block</t>
        </is>
      </c>
      <c r="F96" t="inlineStr">
        <is>
          <t>NTG.2</t>
        </is>
      </c>
      <c r="G96" t="inlineStr">
        <is>
          <t>5.14</t>
        </is>
      </c>
      <c r="H96" t="n">
        <v>27</v>
      </c>
      <c r="I96" t="n">
        <v>61.6</v>
      </c>
      <c r="J96" t="n">
        <v>-31.28</v>
      </c>
      <c r="K96" t="n">
        <v>14.86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23C_40RH_room</t>
        </is>
      </c>
      <c r="B97" t="inlineStr">
        <is>
          <t>23 C / 40%RH (room-temp arm)</t>
        </is>
      </c>
      <c r="C97" t="inlineStr">
        <is>
          <t>measured</t>
        </is>
      </c>
      <c r="D97" t="inlineStr">
        <is>
          <t>Malachite</t>
        </is>
      </c>
      <c r="E97" t="inlineStr">
        <is>
          <t>block</t>
        </is>
      </c>
      <c r="F97" t="inlineStr">
        <is>
          <t>NTG.2</t>
        </is>
      </c>
      <c r="G97" t="inlineStr">
        <is>
          <t>5.18</t>
        </is>
      </c>
      <c r="H97" t="n">
        <v>31</v>
      </c>
      <c r="I97" t="n">
        <v>61.22</v>
      </c>
      <c r="J97" t="n">
        <v>-31.88</v>
      </c>
      <c r="K97" t="n">
        <v>15.25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23C_40RH_room</t>
        </is>
      </c>
      <c r="B98" t="inlineStr">
        <is>
          <t>23 C / 40%RH (room-temp arm)</t>
        </is>
      </c>
      <c r="C98" t="inlineStr">
        <is>
          <t>measured</t>
        </is>
      </c>
      <c r="D98" t="inlineStr">
        <is>
          <t>Malachite</t>
        </is>
      </c>
      <c r="E98" t="inlineStr">
        <is>
          <t>block</t>
        </is>
      </c>
      <c r="F98" t="inlineStr">
        <is>
          <t>NTG.2</t>
        </is>
      </c>
      <c r="G98" t="inlineStr">
        <is>
          <t>5.21</t>
        </is>
      </c>
      <c r="H98" t="n">
        <v>34</v>
      </c>
      <c r="I98" t="n">
        <v>60.77</v>
      </c>
      <c r="J98" t="n">
        <v>-31.21</v>
      </c>
      <c r="K98" t="n">
        <v>14.96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23C_40RH_room</t>
        </is>
      </c>
      <c r="B99" t="inlineStr">
        <is>
          <t>23 C / 40%RH (room-temp arm)</t>
        </is>
      </c>
      <c r="C99" t="inlineStr">
        <is>
          <t>measured</t>
        </is>
      </c>
      <c r="D99" t="inlineStr">
        <is>
          <t>Malachite</t>
        </is>
      </c>
      <c r="E99" t="inlineStr">
        <is>
          <t>block</t>
        </is>
      </c>
      <c r="F99" t="inlineStr">
        <is>
          <t>NTG.2</t>
        </is>
      </c>
      <c r="G99" t="inlineStr">
        <is>
          <t>5.24</t>
        </is>
      </c>
      <c r="H99" t="n">
        <v>37</v>
      </c>
      <c r="I99" t="n">
        <v>62.9</v>
      </c>
      <c r="J99" t="n">
        <v>-31.61</v>
      </c>
      <c r="K99" t="n">
        <v>14.71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23C_40RH_room</t>
        </is>
      </c>
      <c r="B100" t="inlineStr">
        <is>
          <t>23 C / 40%RH (room-temp arm)</t>
        </is>
      </c>
      <c r="C100" t="inlineStr">
        <is>
          <t>measured</t>
        </is>
      </c>
      <c r="D100" t="inlineStr">
        <is>
          <t>Malachite</t>
        </is>
      </c>
      <c r="E100" t="inlineStr">
        <is>
          <t>block</t>
        </is>
      </c>
      <c r="F100" t="inlineStr">
        <is>
          <t>NTG.2</t>
        </is>
      </c>
      <c r="G100" t="inlineStr">
        <is>
          <t>5.28</t>
        </is>
      </c>
      <c r="H100" t="n">
        <v>41</v>
      </c>
      <c r="I100" t="n">
        <v>63</v>
      </c>
      <c r="J100" t="n">
        <v>-31.94</v>
      </c>
      <c r="K100" t="n">
        <v>15.3</v>
      </c>
      <c r="L100">
        <f>ROUND(SQRT((I100-I86)^2+(J100-J86)^2+(K100-K86)^2),2)</f>
        <v/>
      </c>
      <c r="M100" t="inlineStr">
        <is>
          <t>measured</t>
        </is>
      </c>
    </row>
    <row r="101">
      <c r="A101" t="inlineStr">
        <is>
          <t>23C_40RH_room</t>
        </is>
      </c>
      <c r="B101" t="inlineStr">
        <is>
          <t>23 C / 40%RH (room-temp arm)</t>
        </is>
      </c>
      <c r="C101" t="inlineStr">
        <is>
          <t>measured</t>
        </is>
      </c>
      <c r="D101" t="inlineStr">
        <is>
          <t>Malachite</t>
        </is>
      </c>
      <c r="E101" t="inlineStr">
        <is>
          <t>block</t>
        </is>
      </c>
      <c r="F101" t="inlineStr">
        <is>
          <t>NTG.2</t>
        </is>
      </c>
      <c r="G101" t="inlineStr">
        <is>
          <t>5.31</t>
        </is>
      </c>
      <c r="H101" t="n">
        <v>44</v>
      </c>
      <c r="I101" t="n">
        <v>62.8</v>
      </c>
      <c r="J101" t="n">
        <v>-30.69</v>
      </c>
      <c r="K101" t="n">
        <v>14.78</v>
      </c>
      <c r="L101">
        <f>ROUND(SQRT((I101-I86)^2+(J101-J86)^2+(K101-K86)^2),2)</f>
        <v/>
      </c>
      <c r="M101" t="inlineStr">
        <is>
          <t>measured</t>
        </is>
      </c>
    </row>
    <row r="102">
      <c r="A102" t="inlineStr">
        <is>
          <t>23C_40RH_room</t>
        </is>
      </c>
      <c r="B102" t="inlineStr">
        <is>
          <t>23 C / 40%RH (room-temp arm)</t>
        </is>
      </c>
      <c r="C102" t="inlineStr">
        <is>
          <t>measured</t>
        </is>
      </c>
      <c r="D102" t="inlineStr">
        <is>
          <t>Malachite</t>
        </is>
      </c>
      <c r="E102" t="inlineStr">
        <is>
          <t>block</t>
        </is>
      </c>
      <c r="F102" t="inlineStr">
        <is>
          <t>NTG.2</t>
        </is>
      </c>
      <c r="G102" t="inlineStr">
        <is>
          <t>6.03</t>
        </is>
      </c>
      <c r="H102" t="n">
        <v>47</v>
      </c>
      <c r="I102" t="n">
        <v>62.08</v>
      </c>
      <c r="J102" t="n">
        <v>-30.75</v>
      </c>
      <c r="K102" t="n">
        <v>14.7</v>
      </c>
      <c r="L102">
        <f>ROUND(SQRT((I102-I86)^2+(J102-J86)^2+(K102-K86)^2),2)</f>
        <v/>
      </c>
      <c r="M102" t="inlineStr">
        <is>
          <t>measured</t>
        </is>
      </c>
    </row>
    <row r="103">
      <c r="A103" t="inlineStr">
        <is>
          <t>23C_40RH_room</t>
        </is>
      </c>
      <c r="B103" t="inlineStr">
        <is>
          <t>23 C / 40%RH (room-temp arm)</t>
        </is>
      </c>
      <c r="C103" t="inlineStr">
        <is>
          <t>measured</t>
        </is>
      </c>
      <c r="D103" t="inlineStr">
        <is>
          <t>Malachite</t>
        </is>
      </c>
      <c r="E103" t="inlineStr">
        <is>
          <t>block</t>
        </is>
      </c>
      <c r="F103" t="inlineStr">
        <is>
          <t>NTG.2</t>
        </is>
      </c>
      <c r="G103" t="inlineStr">
        <is>
          <t>6.06</t>
        </is>
      </c>
      <c r="H103" t="n">
        <v>50</v>
      </c>
      <c r="I103" t="n">
        <v>62.9</v>
      </c>
      <c r="J103" t="n">
        <v>-32.26</v>
      </c>
      <c r="K103" t="n">
        <v>15.37</v>
      </c>
      <c r="L103">
        <f>ROUND(SQRT((I103-I86)^2+(J103-J86)^2+(K103-K86)^2),2)</f>
        <v/>
      </c>
      <c r="M103" t="inlineStr">
        <is>
          <t>measured</t>
        </is>
      </c>
    </row>
    <row r="104">
      <c r="A104" t="inlineStr">
        <is>
          <t>23C_40RH_room</t>
        </is>
      </c>
      <c r="B104" t="inlineStr">
        <is>
          <t>23 C / 40%RH (room-temp arm)</t>
        </is>
      </c>
      <c r="C104" t="inlineStr">
        <is>
          <t>measured</t>
        </is>
      </c>
      <c r="D104" t="inlineStr">
        <is>
          <t>Malachite</t>
        </is>
      </c>
      <c r="E104" t="inlineStr">
        <is>
          <t>block</t>
        </is>
      </c>
      <c r="F104" t="inlineStr">
        <is>
          <t>NTG.2</t>
        </is>
      </c>
      <c r="G104" t="inlineStr">
        <is>
          <t>6.09</t>
        </is>
      </c>
      <c r="H104" t="n">
        <v>53</v>
      </c>
      <c r="I104" t="n">
        <v>62.02</v>
      </c>
      <c r="J104" t="n">
        <v>-31.08</v>
      </c>
      <c r="K104" t="n">
        <v>14.88</v>
      </c>
      <c r="L104">
        <f>ROUND(SQRT((I104-I86)^2+(J104-J86)^2+(K104-K86)^2),2)</f>
        <v/>
      </c>
      <c r="M104" t="inlineStr">
        <is>
          <t>measured</t>
        </is>
      </c>
    </row>
    <row r="105">
      <c r="A105" t="inlineStr">
        <is>
          <t>23C_40RH_room</t>
        </is>
      </c>
      <c r="B105" t="inlineStr">
        <is>
          <t>23 C / 40%RH (room-temp arm)</t>
        </is>
      </c>
      <c r="C105" t="inlineStr">
        <is>
          <t>measured</t>
        </is>
      </c>
      <c r="D105" t="inlineStr">
        <is>
          <t>Malachite</t>
        </is>
      </c>
      <c r="E105" t="inlineStr">
        <is>
          <t>block</t>
        </is>
      </c>
      <c r="F105" t="inlineStr">
        <is>
          <t>NTG.2</t>
        </is>
      </c>
      <c r="G105" t="inlineStr">
        <is>
          <t>6.13</t>
        </is>
      </c>
      <c r="H105" t="n">
        <v>57</v>
      </c>
      <c r="I105" t="n">
        <v>62.22</v>
      </c>
      <c r="J105" t="n">
        <v>-30.27</v>
      </c>
      <c r="K105" t="n">
        <v>15.34</v>
      </c>
      <c r="L105">
        <f>ROUND(SQRT((I105-I86)^2+(J105-J86)^2+(K105-K86)^2),2)</f>
        <v/>
      </c>
      <c r="M105" t="inlineStr">
        <is>
          <t>measured</t>
        </is>
      </c>
    </row>
    <row r="106">
      <c r="A106" t="inlineStr">
        <is>
          <t>23C_40RH_room</t>
        </is>
      </c>
      <c r="B106" t="inlineStr">
        <is>
          <t>23 C / 40%RH (room-temp arm)</t>
        </is>
      </c>
      <c r="C106" t="inlineStr">
        <is>
          <t>measured</t>
        </is>
      </c>
      <c r="D106" t="inlineStr">
        <is>
          <t>Malachite</t>
        </is>
      </c>
      <c r="E106" t="inlineStr">
        <is>
          <t>block</t>
        </is>
      </c>
      <c r="F106" t="inlineStr">
        <is>
          <t>NTG.2</t>
        </is>
      </c>
      <c r="G106" t="inlineStr">
        <is>
          <t>6.17</t>
        </is>
      </c>
      <c r="H106" t="n">
        <v>61</v>
      </c>
      <c r="I106" t="n">
        <v>61.39</v>
      </c>
      <c r="J106" t="n">
        <v>-30.2</v>
      </c>
      <c r="K106" t="n">
        <v>15.37</v>
      </c>
      <c r="L106">
        <f>ROUND(SQRT((I106-I86)^2+(J106-J86)^2+(K106-K86)^2),2)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Malachite</t>
        </is>
      </c>
      <c r="E107" t="inlineStr">
        <is>
          <t>pedestal</t>
        </is>
      </c>
      <c r="F107" t="inlineStr">
        <is>
          <t>HG.1</t>
        </is>
      </c>
      <c r="G107" t="inlineStr">
        <is>
          <t>4.17</t>
        </is>
      </c>
      <c r="H107" t="n">
        <v>0</v>
      </c>
      <c r="I107" t="n">
        <v>59.82</v>
      </c>
      <c r="J107" t="n">
        <v>-31.73</v>
      </c>
      <c r="K107" t="n">
        <v>15.24</v>
      </c>
      <c r="L107" t="n">
        <v>0</v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Malachite</t>
        </is>
      </c>
      <c r="E108" t="inlineStr">
        <is>
          <t>pedestal</t>
        </is>
      </c>
      <c r="F108" t="inlineStr">
        <is>
          <t>HG.1</t>
        </is>
      </c>
      <c r="G108" t="inlineStr">
        <is>
          <t>4.20</t>
        </is>
      </c>
      <c r="H108" t="n">
        <v>3</v>
      </c>
      <c r="I108" t="n">
        <v>60.72</v>
      </c>
      <c r="J108" t="n">
        <v>-31.73</v>
      </c>
      <c r="K108" t="n">
        <v>15.34</v>
      </c>
      <c r="L108">
        <f>ROUND(SQRT((I108-I107)^2+(J108-J107)^2+(K108-K107)^2),2)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Malachite</t>
        </is>
      </c>
      <c r="E109" t="inlineStr">
        <is>
          <t>pedestal</t>
        </is>
      </c>
      <c r="F109" t="inlineStr">
        <is>
          <t>HG.1</t>
        </is>
      </c>
      <c r="G109" t="inlineStr">
        <is>
          <t>4.23</t>
        </is>
      </c>
      <c r="H109" t="n">
        <v>6</v>
      </c>
      <c r="I109" t="n">
        <v>59.86</v>
      </c>
      <c r="J109" t="n">
        <v>-30.7</v>
      </c>
      <c r="K109" t="n">
        <v>15.5</v>
      </c>
      <c r="L109">
        <f>ROUND(SQRT((I109-I107)^2+(J109-J107)^2+(K109-K107)^2),2)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Malachite</t>
        </is>
      </c>
      <c r="E110" t="inlineStr">
        <is>
          <t>pedestal</t>
        </is>
      </c>
      <c r="F110" t="inlineStr">
        <is>
          <t>HG.1</t>
        </is>
      </c>
      <c r="G110" t="inlineStr">
        <is>
          <t>4.26</t>
        </is>
      </c>
      <c r="H110" t="n">
        <v>9</v>
      </c>
      <c r="I110" t="n">
        <v>59.85</v>
      </c>
      <c r="J110" t="n">
        <v>-33.45</v>
      </c>
      <c r="K110" t="n">
        <v>15.53</v>
      </c>
      <c r="L110">
        <f>ROUND(SQRT((I110-I107)^2+(J110-J107)^2+(K110-K107)^2),2)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Malachite</t>
        </is>
      </c>
      <c r="E111" t="inlineStr">
        <is>
          <t>pedestal</t>
        </is>
      </c>
      <c r="F111" t="inlineStr">
        <is>
          <t>HG.1</t>
        </is>
      </c>
      <c r="G111" t="inlineStr">
        <is>
          <t>4.29</t>
        </is>
      </c>
      <c r="H111" t="n">
        <v>12</v>
      </c>
      <c r="I111" t="n">
        <v>59.76</v>
      </c>
      <c r="J111" t="n">
        <v>-32.72</v>
      </c>
      <c r="K111" t="n">
        <v>14.32</v>
      </c>
      <c r="L111">
        <f>ROUND(SQRT((I111-I107)^2+(J111-J107)^2+(K111-K107)^2),2)</f>
        <v/>
      </c>
      <c r="M111" t="inlineStr">
        <is>
          <t>measured</t>
        </is>
      </c>
    </row>
    <row r="112">
      <c r="A112" t="inlineStr">
        <is>
          <t>40C_10RH_chamber</t>
        </is>
      </c>
      <c r="B112" t="inlineStr">
        <is>
          <t>40 C / 10%RH (chamber arm)</t>
        </is>
      </c>
      <c r="C112" t="inlineStr">
        <is>
          <t>measured</t>
        </is>
      </c>
      <c r="D112" t="inlineStr">
        <is>
          <t>Malachite</t>
        </is>
      </c>
      <c r="E112" t="inlineStr">
        <is>
          <t>pedestal</t>
        </is>
      </c>
      <c r="F112" t="inlineStr">
        <is>
          <t>HG.1</t>
        </is>
      </c>
      <c r="G112" t="inlineStr">
        <is>
          <t>5.02</t>
        </is>
      </c>
      <c r="H112" t="n">
        <v>15</v>
      </c>
      <c r="I112" t="n">
        <v>59.82</v>
      </c>
      <c r="J112" t="n">
        <v>-32.56</v>
      </c>
      <c r="K112" t="n">
        <v>15.84</v>
      </c>
      <c r="L112">
        <f>ROUND(SQRT((I112-I107)^2+(J112-J107)^2+(K112-K107)^2),2)</f>
        <v/>
      </c>
      <c r="M112" t="inlineStr">
        <is>
          <t>measured</t>
        </is>
      </c>
    </row>
    <row r="113">
      <c r="A113" t="inlineStr">
        <is>
          <t>40C_10RH_chamber</t>
        </is>
      </c>
      <c r="B113" t="inlineStr">
        <is>
          <t>40 C / 10%RH (chamber arm)</t>
        </is>
      </c>
      <c r="C113" t="inlineStr">
        <is>
          <t>measured</t>
        </is>
      </c>
      <c r="D113" t="inlineStr">
        <is>
          <t>Malachite</t>
        </is>
      </c>
      <c r="E113" t="inlineStr">
        <is>
          <t>pedestal</t>
        </is>
      </c>
      <c r="F113" t="inlineStr">
        <is>
          <t>HG.1</t>
        </is>
      </c>
      <c r="G113" t="inlineStr">
        <is>
          <t>5.05</t>
        </is>
      </c>
      <c r="H113" t="n">
        <v>18</v>
      </c>
      <c r="I113" t="n">
        <v>61.02</v>
      </c>
      <c r="J113" t="n">
        <v>-31.98</v>
      </c>
      <c r="K113" t="n">
        <v>14.68</v>
      </c>
      <c r="L113">
        <f>ROUND(SQRT((I113-I107)^2+(J113-J107)^2+(K113-K107)^2),2)</f>
        <v/>
      </c>
      <c r="M113" t="inlineStr">
        <is>
          <t>measured</t>
        </is>
      </c>
    </row>
    <row r="114">
      <c r="A114" t="inlineStr">
        <is>
          <t>40C_10RH_chamber</t>
        </is>
      </c>
      <c r="B114" t="inlineStr">
        <is>
          <t>40 C / 10%RH (chamber arm)</t>
        </is>
      </c>
      <c r="C114" t="inlineStr">
        <is>
          <t>measured</t>
        </is>
      </c>
      <c r="D114" t="inlineStr">
        <is>
          <t>Malachite</t>
        </is>
      </c>
      <c r="E114" t="inlineStr">
        <is>
          <t>pedestal</t>
        </is>
      </c>
      <c r="F114" t="inlineStr">
        <is>
          <t>HG.1</t>
        </is>
      </c>
      <c r="G114" t="inlineStr">
        <is>
          <t>5.08</t>
        </is>
      </c>
      <c r="H114" t="n">
        <v>21</v>
      </c>
      <c r="I114" t="n">
        <v>58.2</v>
      </c>
      <c r="J114" t="n">
        <v>-31.91</v>
      </c>
      <c r="K114" t="n">
        <v>15.68</v>
      </c>
      <c r="L114">
        <f>ROUND(SQRT((I114-I107)^2+(J114-J107)^2+(K114-K107)^2),2)</f>
        <v/>
      </c>
      <c r="M114" t="inlineStr">
        <is>
          <t>measured</t>
        </is>
      </c>
    </row>
    <row r="115">
      <c r="A115" t="inlineStr">
        <is>
          <t>40C_10RH_chamber</t>
        </is>
      </c>
      <c r="B115" t="inlineStr">
        <is>
          <t>40 C / 10%RH (chamber arm)</t>
        </is>
      </c>
      <c r="C115" t="inlineStr">
        <is>
          <t>measured</t>
        </is>
      </c>
      <c r="D115" t="inlineStr">
        <is>
          <t>Malachite</t>
        </is>
      </c>
      <c r="E115" t="inlineStr">
        <is>
          <t>pedestal</t>
        </is>
      </c>
      <c r="F115" t="inlineStr">
        <is>
          <t>HG.1</t>
        </is>
      </c>
      <c r="G115" t="inlineStr">
        <is>
          <t>5.11</t>
        </is>
      </c>
      <c r="H115" t="n">
        <v>24</v>
      </c>
      <c r="I115" t="n">
        <v>58.42</v>
      </c>
      <c r="J115" t="n">
        <v>-32.79</v>
      </c>
      <c r="K115" t="n">
        <v>15.23</v>
      </c>
      <c r="L115">
        <f>ROUND(SQRT((I115-I107)^2+(J115-J107)^2+(K115-K107)^2),2)</f>
        <v/>
      </c>
      <c r="M115" t="inlineStr">
        <is>
          <t>measured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Malachite</t>
        </is>
      </c>
      <c r="E116" t="inlineStr">
        <is>
          <t>pedestal</t>
        </is>
      </c>
      <c r="F116" t="inlineStr">
        <is>
          <t>HG.1</t>
        </is>
      </c>
      <c r="G116" t="inlineStr">
        <is>
          <t>5.12</t>
        </is>
      </c>
      <c r="H116" t="n">
        <v>25</v>
      </c>
      <c r="I116" t="n">
        <v>59.44</v>
      </c>
      <c r="J116" t="n">
        <v>-32.42</v>
      </c>
      <c r="K116" t="n">
        <v>14.28</v>
      </c>
      <c r="L116">
        <f>ROUND(SQRT((I116-I107)^2+(J116-J107)^2+(K116-K107)^2),2)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Malachite</t>
        </is>
      </c>
      <c r="E117" t="inlineStr">
        <is>
          <t>pedestal</t>
        </is>
      </c>
      <c r="F117" t="inlineStr">
        <is>
          <t>HG.1</t>
        </is>
      </c>
      <c r="G117" t="inlineStr">
        <is>
          <t>5.14</t>
        </is>
      </c>
      <c r="H117" t="n">
        <v>27</v>
      </c>
      <c r="I117" t="n">
        <v>59.83</v>
      </c>
      <c r="J117" t="n">
        <v>-32.33</v>
      </c>
      <c r="K117" t="n">
        <v>15.02</v>
      </c>
      <c r="L117">
        <f>ROUND(SQRT((I117-I107)^2+(J117-J107)^2+(K117-K107)^2),2)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Malachite</t>
        </is>
      </c>
      <c r="E118" t="inlineStr">
        <is>
          <t>pedestal</t>
        </is>
      </c>
      <c r="F118" t="inlineStr">
        <is>
          <t>HG.1</t>
        </is>
      </c>
      <c r="G118" t="inlineStr">
        <is>
          <t>5.18</t>
        </is>
      </c>
      <c r="H118" t="n">
        <v>31</v>
      </c>
      <c r="I118" t="n">
        <v>60.3</v>
      </c>
      <c r="J118" t="n">
        <v>-30.01</v>
      </c>
      <c r="K118" t="n">
        <v>15.5</v>
      </c>
      <c r="L118">
        <f>ROUND(SQRT((I118-I107)^2+(J118-J107)^2+(K118-K107)^2),2)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Malachite</t>
        </is>
      </c>
      <c r="E119" t="inlineStr">
        <is>
          <t>pedestal</t>
        </is>
      </c>
      <c r="F119" t="inlineStr">
        <is>
          <t>HG.1</t>
        </is>
      </c>
      <c r="G119" t="inlineStr">
        <is>
          <t>5.21</t>
        </is>
      </c>
      <c r="H119" t="n">
        <v>34</v>
      </c>
      <c r="I119" t="n">
        <v>60.15</v>
      </c>
      <c r="J119" t="n">
        <v>-30.47</v>
      </c>
      <c r="K119" t="n">
        <v>15.67</v>
      </c>
      <c r="L119">
        <f>ROUND(SQRT((I119-I107)^2+(J119-J107)^2+(K119-K107)^2),2)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Malachite</t>
        </is>
      </c>
      <c r="E120" t="inlineStr">
        <is>
          <t>pedestal</t>
        </is>
      </c>
      <c r="F120" t="inlineStr">
        <is>
          <t>HG.1</t>
        </is>
      </c>
      <c r="G120" t="inlineStr">
        <is>
          <t>5.24</t>
        </is>
      </c>
      <c r="H120" t="n">
        <v>37</v>
      </c>
      <c r="I120" t="n">
        <v>59.55</v>
      </c>
      <c r="J120" t="n">
        <v>-32.02</v>
      </c>
      <c r="K120" t="n">
        <v>15.14</v>
      </c>
      <c r="L120">
        <f>ROUND(SQRT((I120-I107)^2+(J120-J107)^2+(K120-K107)^2),2)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Malachite</t>
        </is>
      </c>
      <c r="E121" t="inlineStr">
        <is>
          <t>pedestal</t>
        </is>
      </c>
      <c r="F121" t="inlineStr">
        <is>
          <t>HG.1</t>
        </is>
      </c>
      <c r="G121" t="inlineStr">
        <is>
          <t>5.28</t>
        </is>
      </c>
      <c r="H121" t="n">
        <v>41</v>
      </c>
      <c r="I121" t="n">
        <v>60.53</v>
      </c>
      <c r="J121" t="n">
        <v>-31.98</v>
      </c>
      <c r="K121" t="n">
        <v>16.31</v>
      </c>
      <c r="L121">
        <f>ROUND(SQRT((I121-I107)^2+(J121-J107)^2+(K121-K107)^2),2)</f>
        <v/>
      </c>
      <c r="M121" t="inlineStr">
        <is>
          <t>measured</t>
        </is>
      </c>
    </row>
    <row r="122">
      <c r="A122" t="inlineStr">
        <is>
          <t>40C_10RH_chamber</t>
        </is>
      </c>
      <c r="B122" t="inlineStr">
        <is>
          <t>40 C / 10%RH (chamber arm)</t>
        </is>
      </c>
      <c r="C122" t="inlineStr">
        <is>
          <t>measured</t>
        </is>
      </c>
      <c r="D122" t="inlineStr">
        <is>
          <t>Malachite</t>
        </is>
      </c>
      <c r="E122" t="inlineStr">
        <is>
          <t>pedestal</t>
        </is>
      </c>
      <c r="F122" t="inlineStr">
        <is>
          <t>HG.1</t>
        </is>
      </c>
      <c r="G122" t="inlineStr">
        <is>
          <t>5.31</t>
        </is>
      </c>
      <c r="H122" t="n">
        <v>44</v>
      </c>
      <c r="I122" t="n">
        <v>60.54</v>
      </c>
      <c r="J122" t="n">
        <v>-32.53</v>
      </c>
      <c r="K122" t="n">
        <v>15.95</v>
      </c>
      <c r="L122">
        <f>ROUND(SQRT((I122-I107)^2+(J122-J107)^2+(K122-K107)^2),2)</f>
        <v/>
      </c>
      <c r="M122" t="inlineStr">
        <is>
          <t>measured</t>
        </is>
      </c>
    </row>
    <row r="123">
      <c r="A123" t="inlineStr">
        <is>
          <t>40C_10RH_chamber</t>
        </is>
      </c>
      <c r="B123" t="inlineStr">
        <is>
          <t>40 C / 10%RH (chamber arm)</t>
        </is>
      </c>
      <c r="C123" t="inlineStr">
        <is>
          <t>measured</t>
        </is>
      </c>
      <c r="D123" t="inlineStr">
        <is>
          <t>Malachite</t>
        </is>
      </c>
      <c r="E123" t="inlineStr">
        <is>
          <t>pedestal</t>
        </is>
      </c>
      <c r="F123" t="inlineStr">
        <is>
          <t>HG.1</t>
        </is>
      </c>
      <c r="G123" t="inlineStr">
        <is>
          <t>6.03</t>
        </is>
      </c>
      <c r="H123" t="n">
        <v>47</v>
      </c>
      <c r="I123" t="n">
        <v>59.95</v>
      </c>
      <c r="J123" t="n">
        <v>-33.07</v>
      </c>
      <c r="K123" t="n">
        <v>15.06</v>
      </c>
      <c r="L123">
        <f>ROUND(SQRT((I123-I107)^2+(J123-J107)^2+(K123-K107)^2),2)</f>
        <v/>
      </c>
      <c r="M123" t="inlineStr">
        <is>
          <t>measured</t>
        </is>
      </c>
    </row>
    <row r="124">
      <c r="A124" t="inlineStr">
        <is>
          <t>40C_10RH_chamber</t>
        </is>
      </c>
      <c r="B124" t="inlineStr">
        <is>
          <t>40 C / 10%RH (chamber arm)</t>
        </is>
      </c>
      <c r="C124" t="inlineStr">
        <is>
          <t>measured</t>
        </is>
      </c>
      <c r="D124" t="inlineStr">
        <is>
          <t>Malachite</t>
        </is>
      </c>
      <c r="E124" t="inlineStr">
        <is>
          <t>pedestal</t>
        </is>
      </c>
      <c r="F124" t="inlineStr">
        <is>
          <t>HG.1</t>
        </is>
      </c>
      <c r="G124" t="inlineStr">
        <is>
          <t>6.06</t>
        </is>
      </c>
      <c r="H124" t="n">
        <v>50</v>
      </c>
      <c r="I124" t="n">
        <v>60.49</v>
      </c>
      <c r="J124" t="n">
        <v>-31.81</v>
      </c>
      <c r="K124" t="n">
        <v>15.77</v>
      </c>
      <c r="L124">
        <f>ROUND(SQRT((I124-I107)^2+(J124-J107)^2+(K124-K107)^2),2)</f>
        <v/>
      </c>
      <c r="M124" t="inlineStr">
        <is>
          <t>measured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Malachite</t>
        </is>
      </c>
      <c r="E125" t="inlineStr">
        <is>
          <t>pedestal</t>
        </is>
      </c>
      <c r="F125" t="inlineStr">
        <is>
          <t>HG.1</t>
        </is>
      </c>
      <c r="G125" t="inlineStr">
        <is>
          <t>6.09</t>
        </is>
      </c>
      <c r="H125" t="n">
        <v>53</v>
      </c>
      <c r="I125" t="n">
        <v>60.01</v>
      </c>
      <c r="J125" t="n">
        <v>-32.43</v>
      </c>
      <c r="K125" t="n">
        <v>16.59</v>
      </c>
      <c r="L125">
        <f>ROUND(SQRT((I125-I107)^2+(J125-J107)^2+(K125-K107)^2),2)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Malachite</t>
        </is>
      </c>
      <c r="E126" t="inlineStr">
        <is>
          <t>pedestal</t>
        </is>
      </c>
      <c r="F126" t="inlineStr">
        <is>
          <t>HG.1</t>
        </is>
      </c>
      <c r="G126" t="inlineStr">
        <is>
          <t>6.13</t>
        </is>
      </c>
      <c r="H126" t="n">
        <v>57</v>
      </c>
      <c r="I126" t="n">
        <v>59.43</v>
      </c>
      <c r="J126" t="n">
        <v>-31.79</v>
      </c>
      <c r="K126" t="n">
        <v>16.61</v>
      </c>
      <c r="L126">
        <f>ROUND(SQRT((I126-I107)^2+(J126-J107)^2+(K126-K107)^2),2)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Malachite</t>
        </is>
      </c>
      <c r="E127" t="inlineStr">
        <is>
          <t>pedestal</t>
        </is>
      </c>
      <c r="F127" t="inlineStr">
        <is>
          <t>HG.1</t>
        </is>
      </c>
      <c r="G127" t="inlineStr">
        <is>
          <t>6.17</t>
        </is>
      </c>
      <c r="H127" t="n">
        <v>61</v>
      </c>
      <c r="I127" t="n">
        <v>60.31</v>
      </c>
      <c r="J127" t="n">
        <v>-32.85</v>
      </c>
      <c r="K127" t="n">
        <v>14.38</v>
      </c>
      <c r="L127">
        <f>ROUND(SQRT((I127-I107)^2+(J127-J107)^2+(K127-K107)^2),2)</f>
        <v/>
      </c>
      <c r="M127" t="inlineStr">
        <is>
          <t>measured</t>
        </is>
      </c>
    </row>
    <row r="128">
      <c r="A128" t="inlineStr">
        <is>
          <t>40C_10RH_chamber</t>
        </is>
      </c>
      <c r="B128" t="inlineStr">
        <is>
          <t>40 C / 10%RH (chamber arm)</t>
        </is>
      </c>
      <c r="C128" t="inlineStr">
        <is>
          <t>measured</t>
        </is>
      </c>
      <c r="D128" t="inlineStr">
        <is>
          <t>Malachite</t>
        </is>
      </c>
      <c r="E128" t="inlineStr">
        <is>
          <t>pedestal</t>
        </is>
      </c>
      <c r="F128" t="inlineStr">
        <is>
          <t>HG.2</t>
        </is>
      </c>
      <c r="G128" t="inlineStr">
        <is>
          <t>4.17</t>
        </is>
      </c>
      <c r="H128" t="n">
        <v>0</v>
      </c>
      <c r="I128" t="n">
        <v>59.27</v>
      </c>
      <c r="J128" t="n">
        <v>-32.38</v>
      </c>
      <c r="K128" t="n">
        <v>14.74</v>
      </c>
      <c r="L128" t="n">
        <v>0</v>
      </c>
      <c r="M128" t="inlineStr">
        <is>
          <t>measured</t>
        </is>
      </c>
    </row>
    <row r="129">
      <c r="A129" t="inlineStr">
        <is>
          <t>40C_10RH_chamber</t>
        </is>
      </c>
      <c r="B129" t="inlineStr">
        <is>
          <t>40 C / 10%RH (chamber arm)</t>
        </is>
      </c>
      <c r="C129" t="inlineStr">
        <is>
          <t>measured</t>
        </is>
      </c>
      <c r="D129" t="inlineStr">
        <is>
          <t>Malachite</t>
        </is>
      </c>
      <c r="E129" t="inlineStr">
        <is>
          <t>pedestal</t>
        </is>
      </c>
      <c r="F129" t="inlineStr">
        <is>
          <t>HG.2</t>
        </is>
      </c>
      <c r="G129" t="inlineStr">
        <is>
          <t>4.20</t>
        </is>
      </c>
      <c r="H129" t="n">
        <v>3</v>
      </c>
      <c r="I129" t="n">
        <v>60.31</v>
      </c>
      <c r="J129" t="n">
        <v>-31.45</v>
      </c>
      <c r="K129" t="n">
        <v>15.63</v>
      </c>
      <c r="L129">
        <f>ROUND(SQRT((I129-I128)^2+(J129-J128)^2+(K129-K128)^2),2)</f>
        <v/>
      </c>
      <c r="M129" t="inlineStr">
        <is>
          <t>measured</t>
        </is>
      </c>
    </row>
    <row r="130">
      <c r="A130" t="inlineStr">
        <is>
          <t>40C_10RH_chamber</t>
        </is>
      </c>
      <c r="B130" t="inlineStr">
        <is>
          <t>40 C / 10%RH (chamber arm)</t>
        </is>
      </c>
      <c r="C130" t="inlineStr">
        <is>
          <t>measured</t>
        </is>
      </c>
      <c r="D130" t="inlineStr">
        <is>
          <t>Malachite</t>
        </is>
      </c>
      <c r="E130" t="inlineStr">
        <is>
          <t>pedestal</t>
        </is>
      </c>
      <c r="F130" t="inlineStr">
        <is>
          <t>HG.2</t>
        </is>
      </c>
      <c r="G130" t="inlineStr">
        <is>
          <t>4.23</t>
        </is>
      </c>
      <c r="H130" t="n">
        <v>6</v>
      </c>
      <c r="I130" t="n">
        <v>58.53</v>
      </c>
      <c r="J130" t="n">
        <v>-32.41</v>
      </c>
      <c r="K130" t="n">
        <v>14.04</v>
      </c>
      <c r="L130">
        <f>ROUND(SQRT((I130-I128)^2+(J130-J128)^2+(K130-K128)^2),2)</f>
        <v/>
      </c>
      <c r="M130" t="inlineStr">
        <is>
          <t>measured</t>
        </is>
      </c>
    </row>
    <row r="131">
      <c r="A131" t="inlineStr">
        <is>
          <t>40C_10RH_chamber</t>
        </is>
      </c>
      <c r="B131" t="inlineStr">
        <is>
          <t>40 C / 10%RH (chamber arm)</t>
        </is>
      </c>
      <c r="C131" t="inlineStr">
        <is>
          <t>measured</t>
        </is>
      </c>
      <c r="D131" t="inlineStr">
        <is>
          <t>Malachite</t>
        </is>
      </c>
      <c r="E131" t="inlineStr">
        <is>
          <t>pedestal</t>
        </is>
      </c>
      <c r="F131" t="inlineStr">
        <is>
          <t>HG.2</t>
        </is>
      </c>
      <c r="G131" t="inlineStr">
        <is>
          <t>4.26</t>
        </is>
      </c>
      <c r="H131" t="n">
        <v>9</v>
      </c>
      <c r="I131" t="n">
        <v>58.34</v>
      </c>
      <c r="J131" t="n">
        <v>-31.48</v>
      </c>
      <c r="K131" t="n">
        <v>15.92</v>
      </c>
      <c r="L131">
        <f>ROUND(SQRT((I131-I128)^2+(J131-J128)^2+(K131-K128)^2),2)</f>
        <v/>
      </c>
      <c r="M131" t="inlineStr">
        <is>
          <t>measured</t>
        </is>
      </c>
    </row>
    <row r="132">
      <c r="A132" t="inlineStr">
        <is>
          <t>40C_10RH_chamber</t>
        </is>
      </c>
      <c r="B132" t="inlineStr">
        <is>
          <t>40 C / 10%RH (chamber arm)</t>
        </is>
      </c>
      <c r="C132" t="inlineStr">
        <is>
          <t>measured</t>
        </is>
      </c>
      <c r="D132" t="inlineStr">
        <is>
          <t>Malachite</t>
        </is>
      </c>
      <c r="E132" t="inlineStr">
        <is>
          <t>pedestal</t>
        </is>
      </c>
      <c r="F132" t="inlineStr">
        <is>
          <t>HG.2</t>
        </is>
      </c>
      <c r="G132" t="inlineStr">
        <is>
          <t>4.29</t>
        </is>
      </c>
      <c r="H132" t="n">
        <v>12</v>
      </c>
      <c r="I132" t="n">
        <v>58.93</v>
      </c>
      <c r="J132" t="n">
        <v>-32.09</v>
      </c>
      <c r="K132" t="n">
        <v>14.37</v>
      </c>
      <c r="L132">
        <f>ROUND(SQRT((I132-I128)^2+(J132-J128)^2+(K132-K128)^2),2)</f>
        <v/>
      </c>
      <c r="M132" t="inlineStr">
        <is>
          <t>measured</t>
        </is>
      </c>
    </row>
    <row r="133">
      <c r="A133" t="inlineStr">
        <is>
          <t>40C_10RH_chamber</t>
        </is>
      </c>
      <c r="B133" t="inlineStr">
        <is>
          <t>40 C / 10%RH (chamber arm)</t>
        </is>
      </c>
      <c r="C133" t="inlineStr">
        <is>
          <t>measured</t>
        </is>
      </c>
      <c r="D133" t="inlineStr">
        <is>
          <t>Malachite</t>
        </is>
      </c>
      <c r="E133" t="inlineStr">
        <is>
          <t>pedestal</t>
        </is>
      </c>
      <c r="F133" t="inlineStr">
        <is>
          <t>HG.2</t>
        </is>
      </c>
      <c r="G133" t="inlineStr">
        <is>
          <t>5.02</t>
        </is>
      </c>
      <c r="H133" t="n">
        <v>15</v>
      </c>
      <c r="I133" t="n">
        <v>59.56</v>
      </c>
      <c r="J133" t="n">
        <v>-31.83</v>
      </c>
      <c r="K133" t="n">
        <v>15.47</v>
      </c>
      <c r="L133">
        <f>ROUND(SQRT((I133-I128)^2+(J133-J128)^2+(K133-K128)^2),2)</f>
        <v/>
      </c>
      <c r="M133" t="inlineStr">
        <is>
          <t>measured</t>
        </is>
      </c>
    </row>
    <row r="134">
      <c r="A134" t="inlineStr">
        <is>
          <t>40C_10RH_chamber</t>
        </is>
      </c>
      <c r="B134" t="inlineStr">
        <is>
          <t>40 C / 10%RH (chamber arm)</t>
        </is>
      </c>
      <c r="C134" t="inlineStr">
        <is>
          <t>measured</t>
        </is>
      </c>
      <c r="D134" t="inlineStr">
        <is>
          <t>Malachite</t>
        </is>
      </c>
      <c r="E134" t="inlineStr">
        <is>
          <t>pedestal</t>
        </is>
      </c>
      <c r="F134" t="inlineStr">
        <is>
          <t>HG.2</t>
        </is>
      </c>
      <c r="G134" t="inlineStr">
        <is>
          <t>5.05</t>
        </is>
      </c>
      <c r="H134" t="n">
        <v>18</v>
      </c>
      <c r="I134" t="n">
        <v>59.2</v>
      </c>
      <c r="J134" t="n">
        <v>-33.01</v>
      </c>
      <c r="K134" t="n">
        <v>14.79</v>
      </c>
      <c r="L134">
        <f>ROUND(SQRT((I134-I128)^2+(J134-J128)^2+(K134-K128)^2),2)</f>
        <v/>
      </c>
      <c r="M134" t="inlineStr">
        <is>
          <t>measured</t>
        </is>
      </c>
    </row>
    <row r="135">
      <c r="A135" t="inlineStr">
        <is>
          <t>40C_10RH_chamber</t>
        </is>
      </c>
      <c r="B135" t="inlineStr">
        <is>
          <t>40 C / 10%RH (chamber arm)</t>
        </is>
      </c>
      <c r="C135" t="inlineStr">
        <is>
          <t>measured</t>
        </is>
      </c>
      <c r="D135" t="inlineStr">
        <is>
          <t>Malachite</t>
        </is>
      </c>
      <c r="E135" t="inlineStr">
        <is>
          <t>pedestal</t>
        </is>
      </c>
      <c r="F135" t="inlineStr">
        <is>
          <t>HG.2</t>
        </is>
      </c>
      <c r="G135" t="inlineStr">
        <is>
          <t>5.08</t>
        </is>
      </c>
      <c r="H135" t="n">
        <v>21</v>
      </c>
      <c r="I135" t="n">
        <v>58.81</v>
      </c>
      <c r="J135" t="n">
        <v>-32.01</v>
      </c>
      <c r="K135" t="n">
        <v>14.45</v>
      </c>
      <c r="L135">
        <f>ROUND(SQRT((I135-I128)^2+(J135-J128)^2+(K135-K128)^2),2)</f>
        <v/>
      </c>
      <c r="M135" t="inlineStr">
        <is>
          <t>measured</t>
        </is>
      </c>
    </row>
    <row r="136">
      <c r="A136" t="inlineStr">
        <is>
          <t>40C_10RH_chamber</t>
        </is>
      </c>
      <c r="B136" t="inlineStr">
        <is>
          <t>40 C / 10%RH (chamber arm)</t>
        </is>
      </c>
      <c r="C136" t="inlineStr">
        <is>
          <t>measured</t>
        </is>
      </c>
      <c r="D136" t="inlineStr">
        <is>
          <t>Malachite</t>
        </is>
      </c>
      <c r="E136" t="inlineStr">
        <is>
          <t>pedestal</t>
        </is>
      </c>
      <c r="F136" t="inlineStr">
        <is>
          <t>HG.2</t>
        </is>
      </c>
      <c r="G136" t="inlineStr">
        <is>
          <t>5.11</t>
        </is>
      </c>
      <c r="H136" t="n">
        <v>24</v>
      </c>
      <c r="I136" t="n">
        <v>58.8</v>
      </c>
      <c r="J136" t="n">
        <v>-31.87</v>
      </c>
      <c r="K136" t="n">
        <v>13.47</v>
      </c>
      <c r="L136">
        <f>ROUND(SQRT((I136-I128)^2+(J136-J128)^2+(K136-K128)^2),2)</f>
        <v/>
      </c>
      <c r="M136" t="inlineStr">
        <is>
          <t>measured</t>
        </is>
      </c>
    </row>
    <row r="137">
      <c r="A137" t="inlineStr">
        <is>
          <t>40C_10RH_chamber</t>
        </is>
      </c>
      <c r="B137" t="inlineStr">
        <is>
          <t>40 C / 10%RH (chamber arm)</t>
        </is>
      </c>
      <c r="C137" t="inlineStr">
        <is>
          <t>measured</t>
        </is>
      </c>
      <c r="D137" t="inlineStr">
        <is>
          <t>Malachite</t>
        </is>
      </c>
      <c r="E137" t="inlineStr">
        <is>
          <t>pedestal</t>
        </is>
      </c>
      <c r="F137" t="inlineStr">
        <is>
          <t>HG.2</t>
        </is>
      </c>
      <c r="G137" t="inlineStr">
        <is>
          <t>5.12</t>
        </is>
      </c>
      <c r="H137" t="n">
        <v>25</v>
      </c>
      <c r="I137" t="n">
        <v>58.77</v>
      </c>
      <c r="J137" t="n">
        <v>-32.78</v>
      </c>
      <c r="K137" t="n">
        <v>14.62</v>
      </c>
      <c r="L137">
        <f>ROUND(SQRT((I137-I128)^2+(J137-J128)^2+(K137-K128)^2),2)</f>
        <v/>
      </c>
      <c r="M137" t="inlineStr">
        <is>
          <t>measured</t>
        </is>
      </c>
    </row>
    <row r="138">
      <c r="A138" t="inlineStr">
        <is>
          <t>40C_10RH_chamber</t>
        </is>
      </c>
      <c r="B138" t="inlineStr">
        <is>
          <t>40 C / 10%RH (chamber arm)</t>
        </is>
      </c>
      <c r="C138" t="inlineStr">
        <is>
          <t>measured</t>
        </is>
      </c>
      <c r="D138" t="inlineStr">
        <is>
          <t>Malachite</t>
        </is>
      </c>
      <c r="E138" t="inlineStr">
        <is>
          <t>pedestal</t>
        </is>
      </c>
      <c r="F138" t="inlineStr">
        <is>
          <t>HG.2</t>
        </is>
      </c>
      <c r="G138" t="inlineStr">
        <is>
          <t>5.14</t>
        </is>
      </c>
      <c r="H138" t="n">
        <v>27</v>
      </c>
      <c r="I138" t="n">
        <v>58.65</v>
      </c>
      <c r="J138" t="n">
        <v>-31.99</v>
      </c>
      <c r="K138" t="n">
        <v>13.65</v>
      </c>
      <c r="L138">
        <f>ROUND(SQRT((I138-I128)^2+(J138-J128)^2+(K138-K128)^2),2)</f>
        <v/>
      </c>
      <c r="M138" t="inlineStr">
        <is>
          <t>measured</t>
        </is>
      </c>
    </row>
    <row r="139">
      <c r="A139" t="inlineStr">
        <is>
          <t>40C_10RH_chamber</t>
        </is>
      </c>
      <c r="B139" t="inlineStr">
        <is>
          <t>40 C / 10%RH (chamber arm)</t>
        </is>
      </c>
      <c r="C139" t="inlineStr">
        <is>
          <t>measured</t>
        </is>
      </c>
      <c r="D139" t="inlineStr">
        <is>
          <t>Malachite</t>
        </is>
      </c>
      <c r="E139" t="inlineStr">
        <is>
          <t>pedestal</t>
        </is>
      </c>
      <c r="F139" t="inlineStr">
        <is>
          <t>HG.2</t>
        </is>
      </c>
      <c r="G139" t="inlineStr">
        <is>
          <t>5.18</t>
        </is>
      </c>
      <c r="H139" t="n">
        <v>31</v>
      </c>
      <c r="I139" t="n">
        <v>60.87</v>
      </c>
      <c r="J139" t="n">
        <v>-31.98</v>
      </c>
      <c r="K139" t="n">
        <v>15.42</v>
      </c>
      <c r="L139">
        <f>ROUND(SQRT((I139-I128)^2+(J139-J128)^2+(K139-K128)^2),2)</f>
        <v/>
      </c>
      <c r="M139" t="inlineStr">
        <is>
          <t>measured</t>
        </is>
      </c>
    </row>
    <row r="140">
      <c r="A140" t="inlineStr">
        <is>
          <t>40C_10RH_chamber</t>
        </is>
      </c>
      <c r="B140" t="inlineStr">
        <is>
          <t>40 C / 10%RH (chamber arm)</t>
        </is>
      </c>
      <c r="C140" t="inlineStr">
        <is>
          <t>measured</t>
        </is>
      </c>
      <c r="D140" t="inlineStr">
        <is>
          <t>Malachite</t>
        </is>
      </c>
      <c r="E140" t="inlineStr">
        <is>
          <t>pedestal</t>
        </is>
      </c>
      <c r="F140" t="inlineStr">
        <is>
          <t>HG.2</t>
        </is>
      </c>
      <c r="G140" t="inlineStr">
        <is>
          <t>5.21</t>
        </is>
      </c>
      <c r="H140" t="n">
        <v>34</v>
      </c>
      <c r="I140" t="n">
        <v>59.48</v>
      </c>
      <c r="J140" t="n">
        <v>-32.76</v>
      </c>
      <c r="K140" t="n">
        <v>15.8</v>
      </c>
      <c r="L140">
        <f>ROUND(SQRT((I140-I128)^2+(J140-J128)^2+(K140-K128)^2),2)</f>
        <v/>
      </c>
      <c r="M140" t="inlineStr">
        <is>
          <t>measured</t>
        </is>
      </c>
    </row>
    <row r="141">
      <c r="A141" t="inlineStr">
        <is>
          <t>40C_10RH_chamber</t>
        </is>
      </c>
      <c r="B141" t="inlineStr">
        <is>
          <t>40 C / 10%RH (chamber arm)</t>
        </is>
      </c>
      <c r="C141" t="inlineStr">
        <is>
          <t>measured</t>
        </is>
      </c>
      <c r="D141" t="inlineStr">
        <is>
          <t>Malachite</t>
        </is>
      </c>
      <c r="E141" t="inlineStr">
        <is>
          <t>pedestal</t>
        </is>
      </c>
      <c r="F141" t="inlineStr">
        <is>
          <t>HG.2</t>
        </is>
      </c>
      <c r="G141" t="inlineStr">
        <is>
          <t>5.24</t>
        </is>
      </c>
      <c r="H141" t="n">
        <v>37</v>
      </c>
      <c r="I141" t="n">
        <v>59.89</v>
      </c>
      <c r="J141" t="n">
        <v>-33.17</v>
      </c>
      <c r="K141" t="n">
        <v>14.18</v>
      </c>
      <c r="L141">
        <f>ROUND(SQRT((I141-I128)^2+(J141-J128)^2+(K141-K128)^2),2)</f>
        <v/>
      </c>
      <c r="M141" t="inlineStr">
        <is>
          <t>measured</t>
        </is>
      </c>
    </row>
    <row r="142">
      <c r="A142" t="inlineStr">
        <is>
          <t>40C_10RH_chamber</t>
        </is>
      </c>
      <c r="B142" t="inlineStr">
        <is>
          <t>40 C / 10%RH (chamber arm)</t>
        </is>
      </c>
      <c r="C142" t="inlineStr">
        <is>
          <t>measured</t>
        </is>
      </c>
      <c r="D142" t="inlineStr">
        <is>
          <t>Malachite</t>
        </is>
      </c>
      <c r="E142" t="inlineStr">
        <is>
          <t>pedestal</t>
        </is>
      </c>
      <c r="F142" t="inlineStr">
        <is>
          <t>HG.2</t>
        </is>
      </c>
      <c r="G142" t="inlineStr">
        <is>
          <t>5.28</t>
        </is>
      </c>
      <c r="H142" t="n">
        <v>41</v>
      </c>
      <c r="I142" t="n">
        <v>58.93</v>
      </c>
      <c r="J142" t="n">
        <v>-33.21</v>
      </c>
      <c r="K142" t="n">
        <v>14.95</v>
      </c>
      <c r="L142">
        <f>ROUND(SQRT((I142-I128)^2+(J142-J128)^2+(K142-K128)^2),2)</f>
        <v/>
      </c>
      <c r="M142" t="inlineStr">
        <is>
          <t>measured</t>
        </is>
      </c>
    </row>
    <row r="143">
      <c r="A143" t="inlineStr">
        <is>
          <t>40C_10RH_chamber</t>
        </is>
      </c>
      <c r="B143" t="inlineStr">
        <is>
          <t>40 C / 10%RH (chamber arm)</t>
        </is>
      </c>
      <c r="C143" t="inlineStr">
        <is>
          <t>measured</t>
        </is>
      </c>
      <c r="D143" t="inlineStr">
        <is>
          <t>Malachite</t>
        </is>
      </c>
      <c r="E143" t="inlineStr">
        <is>
          <t>pedestal</t>
        </is>
      </c>
      <c r="F143" t="inlineStr">
        <is>
          <t>HG.2</t>
        </is>
      </c>
      <c r="G143" t="inlineStr">
        <is>
          <t>5.31</t>
        </is>
      </c>
      <c r="H143" t="n">
        <v>44</v>
      </c>
      <c r="I143" t="n">
        <v>59.14</v>
      </c>
      <c r="J143" t="n">
        <v>-32.32</v>
      </c>
      <c r="K143" t="n">
        <v>14.23</v>
      </c>
      <c r="L143">
        <f>ROUND(SQRT((I143-I128)^2+(J143-J128)^2+(K143-K128)^2),2)</f>
        <v/>
      </c>
      <c r="M143" t="inlineStr">
        <is>
          <t>measured</t>
        </is>
      </c>
    </row>
    <row r="144">
      <c r="A144" t="inlineStr">
        <is>
          <t>40C_10RH_chamber</t>
        </is>
      </c>
      <c r="B144" t="inlineStr">
        <is>
          <t>40 C / 10%RH (chamber arm)</t>
        </is>
      </c>
      <c r="C144" t="inlineStr">
        <is>
          <t>measured</t>
        </is>
      </c>
      <c r="D144" t="inlineStr">
        <is>
          <t>Malachite</t>
        </is>
      </c>
      <c r="E144" t="inlineStr">
        <is>
          <t>pedestal</t>
        </is>
      </c>
      <c r="F144" t="inlineStr">
        <is>
          <t>HG.2</t>
        </is>
      </c>
      <c r="G144" t="inlineStr">
        <is>
          <t>6.03</t>
        </is>
      </c>
      <c r="H144" t="n">
        <v>47</v>
      </c>
      <c r="I144" t="n">
        <v>58.77</v>
      </c>
      <c r="J144" t="n">
        <v>-32.15</v>
      </c>
      <c r="K144" t="n">
        <v>14.3</v>
      </c>
      <c r="L144">
        <f>ROUND(SQRT((I144-I128)^2+(J144-J128)^2+(K144-K128)^2),2)</f>
        <v/>
      </c>
      <c r="M144" t="inlineStr">
        <is>
          <t>measured</t>
        </is>
      </c>
    </row>
    <row r="145">
      <c r="A145" t="inlineStr">
        <is>
          <t>40C_10RH_chamber</t>
        </is>
      </c>
      <c r="B145" t="inlineStr">
        <is>
          <t>40 C / 10%RH (chamber arm)</t>
        </is>
      </c>
      <c r="C145" t="inlineStr">
        <is>
          <t>measured</t>
        </is>
      </c>
      <c r="D145" t="inlineStr">
        <is>
          <t>Malachite</t>
        </is>
      </c>
      <c r="E145" t="inlineStr">
        <is>
          <t>pedestal</t>
        </is>
      </c>
      <c r="F145" t="inlineStr">
        <is>
          <t>HG.2</t>
        </is>
      </c>
      <c r="G145" t="inlineStr">
        <is>
          <t>6.06</t>
        </is>
      </c>
      <c r="H145" t="n">
        <v>50</v>
      </c>
      <c r="I145" t="n">
        <v>57.41</v>
      </c>
      <c r="J145" t="n">
        <v>-32.93</v>
      </c>
      <c r="K145" t="n">
        <v>15.28</v>
      </c>
      <c r="L145">
        <f>ROUND(SQRT((I145-I128)^2+(J145-J128)^2+(K145-K128)^2),2)</f>
        <v/>
      </c>
      <c r="M145" t="inlineStr">
        <is>
          <t>measured</t>
        </is>
      </c>
    </row>
    <row r="146">
      <c r="A146" t="inlineStr">
        <is>
          <t>40C_10RH_chamber</t>
        </is>
      </c>
      <c r="B146" t="inlineStr">
        <is>
          <t>40 C / 10%RH (chamber arm)</t>
        </is>
      </c>
      <c r="C146" t="inlineStr">
        <is>
          <t>measured</t>
        </is>
      </c>
      <c r="D146" t="inlineStr">
        <is>
          <t>Malachite</t>
        </is>
      </c>
      <c r="E146" t="inlineStr">
        <is>
          <t>pedestal</t>
        </is>
      </c>
      <c r="F146" t="inlineStr">
        <is>
          <t>HG.2</t>
        </is>
      </c>
      <c r="G146" t="inlineStr">
        <is>
          <t>6.09</t>
        </is>
      </c>
      <c r="H146" t="n">
        <v>53</v>
      </c>
      <c r="I146" t="n">
        <v>58.31</v>
      </c>
      <c r="J146" t="n">
        <v>-32.36</v>
      </c>
      <c r="K146" t="n">
        <v>14.71</v>
      </c>
      <c r="L146">
        <f>ROUND(SQRT((I146-I128)^2+(J146-J128)^2+(K146-K128)^2),2)</f>
        <v/>
      </c>
      <c r="M146" t="inlineStr">
        <is>
          <t>measured</t>
        </is>
      </c>
    </row>
    <row r="147">
      <c r="A147" t="inlineStr">
        <is>
          <t>40C_10RH_chamber</t>
        </is>
      </c>
      <c r="B147" t="inlineStr">
        <is>
          <t>40 C / 10%RH (chamber arm)</t>
        </is>
      </c>
      <c r="C147" t="inlineStr">
        <is>
          <t>measured</t>
        </is>
      </c>
      <c r="D147" t="inlineStr">
        <is>
          <t>Malachite</t>
        </is>
      </c>
      <c r="E147" t="inlineStr">
        <is>
          <t>pedestal</t>
        </is>
      </c>
      <c r="F147" t="inlineStr">
        <is>
          <t>HG.2</t>
        </is>
      </c>
      <c r="G147" t="inlineStr">
        <is>
          <t>6.13</t>
        </is>
      </c>
      <c r="H147" t="n">
        <v>57</v>
      </c>
      <c r="I147" t="n">
        <v>58</v>
      </c>
      <c r="J147" t="n">
        <v>-31.98</v>
      </c>
      <c r="K147" t="n">
        <v>15.96</v>
      </c>
      <c r="L147">
        <f>ROUND(SQRT((I147-I128)^2+(J147-J128)^2+(K147-K128)^2),2)</f>
        <v/>
      </c>
      <c r="M147" t="inlineStr">
        <is>
          <t>measured</t>
        </is>
      </c>
    </row>
    <row r="148">
      <c r="A148" t="inlineStr">
        <is>
          <t>40C_10RH_chamber</t>
        </is>
      </c>
      <c r="B148" t="inlineStr">
        <is>
          <t>40 C / 10%RH (chamber arm)</t>
        </is>
      </c>
      <c r="C148" t="inlineStr">
        <is>
          <t>measured</t>
        </is>
      </c>
      <c r="D148" t="inlineStr">
        <is>
          <t>Malachite</t>
        </is>
      </c>
      <c r="E148" t="inlineStr">
        <is>
          <t>pedestal</t>
        </is>
      </c>
      <c r="F148" t="inlineStr">
        <is>
          <t>HG.2</t>
        </is>
      </c>
      <c r="G148" t="inlineStr">
        <is>
          <t>6.17</t>
        </is>
      </c>
      <c r="H148" t="n">
        <v>61</v>
      </c>
      <c r="I148" t="n">
        <v>57.7</v>
      </c>
      <c r="J148" t="n">
        <v>-31.95</v>
      </c>
      <c r="K148" t="n">
        <v>14.4</v>
      </c>
      <c r="L148">
        <f>ROUND(SQRT((I148-I128)^2+(J148-J128)^2+(K148-K128)^2),2)</f>
        <v/>
      </c>
      <c r="M148" t="inlineStr">
        <is>
          <t>measured</t>
        </is>
      </c>
    </row>
    <row r="149">
      <c r="A149" t="inlineStr">
        <is>
          <t>40C_10RH_chamber</t>
        </is>
      </c>
      <c r="B149" t="inlineStr">
        <is>
          <t>40 C / 10%RH (chamber arm)</t>
        </is>
      </c>
      <c r="C149" t="inlineStr">
        <is>
          <t>measured</t>
        </is>
      </c>
      <c r="D149" t="inlineStr">
        <is>
          <t>Malachite</t>
        </is>
      </c>
      <c r="E149" t="inlineStr">
        <is>
          <t>pedestal</t>
        </is>
      </c>
      <c r="F149" t="inlineStr">
        <is>
          <t>HG.3</t>
        </is>
      </c>
      <c r="G149" t="inlineStr">
        <is>
          <t>4.17</t>
        </is>
      </c>
      <c r="H149" t="n">
        <v>0</v>
      </c>
      <c r="I149" t="n">
        <v>58.98</v>
      </c>
      <c r="J149" t="n">
        <v>-32.05</v>
      </c>
      <c r="K149" t="n">
        <v>15.98</v>
      </c>
      <c r="L149" t="n">
        <v>0</v>
      </c>
      <c r="M149" t="inlineStr">
        <is>
          <t>measured</t>
        </is>
      </c>
    </row>
    <row r="150">
      <c r="A150" t="inlineStr">
        <is>
          <t>40C_10RH_chamber</t>
        </is>
      </c>
      <c r="B150" t="inlineStr">
        <is>
          <t>40 C / 10%RH (chamber arm)</t>
        </is>
      </c>
      <c r="C150" t="inlineStr">
        <is>
          <t>measured</t>
        </is>
      </c>
      <c r="D150" t="inlineStr">
        <is>
          <t>Malachite</t>
        </is>
      </c>
      <c r="E150" t="inlineStr">
        <is>
          <t>pedestal</t>
        </is>
      </c>
      <c r="F150" t="inlineStr">
        <is>
          <t>HG.3</t>
        </is>
      </c>
      <c r="G150" t="inlineStr">
        <is>
          <t>4.20</t>
        </is>
      </c>
      <c r="H150" t="n">
        <v>3</v>
      </c>
      <c r="I150" t="n">
        <v>59.05</v>
      </c>
      <c r="J150" t="n">
        <v>-33.46</v>
      </c>
      <c r="K150" t="n">
        <v>16.51</v>
      </c>
      <c r="L150">
        <f>ROUND(SQRT((I150-I149)^2+(J150-J149)^2+(K150-K149)^2),2)</f>
        <v/>
      </c>
      <c r="M150" t="inlineStr">
        <is>
          <t>measured</t>
        </is>
      </c>
    </row>
    <row r="151">
      <c r="A151" t="inlineStr">
        <is>
          <t>40C_10RH_chamber</t>
        </is>
      </c>
      <c r="B151" t="inlineStr">
        <is>
          <t>40 C / 10%RH (chamber arm)</t>
        </is>
      </c>
      <c r="C151" t="inlineStr">
        <is>
          <t>measured</t>
        </is>
      </c>
      <c r="D151" t="inlineStr">
        <is>
          <t>Malachite</t>
        </is>
      </c>
      <c r="E151" t="inlineStr">
        <is>
          <t>pedestal</t>
        </is>
      </c>
      <c r="F151" t="inlineStr">
        <is>
          <t>HG.3</t>
        </is>
      </c>
      <c r="G151" t="inlineStr">
        <is>
          <t>4.23</t>
        </is>
      </c>
      <c r="H151" t="n">
        <v>6</v>
      </c>
      <c r="I151" t="n">
        <v>59.54</v>
      </c>
      <c r="J151" t="n">
        <v>-31.49</v>
      </c>
      <c r="K151" t="n">
        <v>15.8</v>
      </c>
      <c r="L151">
        <f>ROUND(SQRT((I151-I149)^2+(J151-J149)^2+(K151-K149)^2),2)</f>
        <v/>
      </c>
      <c r="M151" t="inlineStr">
        <is>
          <t>measured</t>
        </is>
      </c>
    </row>
    <row r="152">
      <c r="A152" t="inlineStr">
        <is>
          <t>40C_10RH_chamber</t>
        </is>
      </c>
      <c r="B152" t="inlineStr">
        <is>
          <t>40 C / 10%RH (chamber arm)</t>
        </is>
      </c>
      <c r="C152" t="inlineStr">
        <is>
          <t>measured</t>
        </is>
      </c>
      <c r="D152" t="inlineStr">
        <is>
          <t>Malachite</t>
        </is>
      </c>
      <c r="E152" t="inlineStr">
        <is>
          <t>pedestal</t>
        </is>
      </c>
      <c r="F152" t="inlineStr">
        <is>
          <t>HG.3</t>
        </is>
      </c>
      <c r="G152" t="inlineStr">
        <is>
          <t>4.26</t>
        </is>
      </c>
      <c r="H152" t="n">
        <v>9</v>
      </c>
      <c r="I152" t="n">
        <v>58.67</v>
      </c>
      <c r="J152" t="n">
        <v>-32.01</v>
      </c>
      <c r="K152" t="n">
        <v>14.24</v>
      </c>
      <c r="L152">
        <f>ROUND(SQRT((I152-I149)^2+(J152-J149)^2+(K152-K149)^2),2)</f>
        <v/>
      </c>
      <c r="M152" t="inlineStr">
        <is>
          <t>measured</t>
        </is>
      </c>
    </row>
    <row r="153">
      <c r="A153" t="inlineStr">
        <is>
          <t>40C_10RH_chamber</t>
        </is>
      </c>
      <c r="B153" t="inlineStr">
        <is>
          <t>40 C / 10%RH (chamber arm)</t>
        </is>
      </c>
      <c r="C153" t="inlineStr">
        <is>
          <t>measured</t>
        </is>
      </c>
      <c r="D153" t="inlineStr">
        <is>
          <t>Malachite</t>
        </is>
      </c>
      <c r="E153" t="inlineStr">
        <is>
          <t>pedestal</t>
        </is>
      </c>
      <c r="F153" t="inlineStr">
        <is>
          <t>HG.3</t>
        </is>
      </c>
      <c r="G153" t="inlineStr">
        <is>
          <t>4.29</t>
        </is>
      </c>
      <c r="H153" t="n">
        <v>12</v>
      </c>
      <c r="I153" t="n">
        <v>58.95</v>
      </c>
      <c r="J153" t="n">
        <v>-31.87</v>
      </c>
      <c r="K153" t="n">
        <v>15.28</v>
      </c>
      <c r="L153">
        <f>ROUND(SQRT((I153-I149)^2+(J153-J149)^2+(K153-K149)^2),2)</f>
        <v/>
      </c>
      <c r="M153" t="inlineStr">
        <is>
          <t>measured</t>
        </is>
      </c>
    </row>
    <row r="154">
      <c r="A154" t="inlineStr">
        <is>
          <t>40C_10RH_chamber</t>
        </is>
      </c>
      <c r="B154" t="inlineStr">
        <is>
          <t>40 C / 10%RH (chamber arm)</t>
        </is>
      </c>
      <c r="C154" t="inlineStr">
        <is>
          <t>measured</t>
        </is>
      </c>
      <c r="D154" t="inlineStr">
        <is>
          <t>Malachite</t>
        </is>
      </c>
      <c r="E154" t="inlineStr">
        <is>
          <t>pedestal</t>
        </is>
      </c>
      <c r="F154" t="inlineStr">
        <is>
          <t>HG.3</t>
        </is>
      </c>
      <c r="G154" t="inlineStr">
        <is>
          <t>5.02</t>
        </is>
      </c>
      <c r="H154" t="n">
        <v>15</v>
      </c>
      <c r="I154" t="n">
        <v>58.9</v>
      </c>
      <c r="J154" t="n">
        <v>-32.98</v>
      </c>
      <c r="K154" t="n">
        <v>16.84</v>
      </c>
      <c r="L154">
        <f>ROUND(SQRT((I154-I149)^2+(J154-J149)^2+(K154-K149)^2),2)</f>
        <v/>
      </c>
      <c r="M154" t="inlineStr">
        <is>
          <t>measured</t>
        </is>
      </c>
    </row>
    <row r="155">
      <c r="A155" t="inlineStr">
        <is>
          <t>40C_10RH_chamber</t>
        </is>
      </c>
      <c r="B155" t="inlineStr">
        <is>
          <t>40 C / 10%RH (chamber arm)</t>
        </is>
      </c>
      <c r="C155" t="inlineStr">
        <is>
          <t>measured</t>
        </is>
      </c>
      <c r="D155" t="inlineStr">
        <is>
          <t>Malachite</t>
        </is>
      </c>
      <c r="E155" t="inlineStr">
        <is>
          <t>pedestal</t>
        </is>
      </c>
      <c r="F155" t="inlineStr">
        <is>
          <t>HG.3</t>
        </is>
      </c>
      <c r="G155" t="inlineStr">
        <is>
          <t>5.05</t>
        </is>
      </c>
      <c r="H155" t="n">
        <v>18</v>
      </c>
      <c r="I155" t="n">
        <v>58.39</v>
      </c>
      <c r="J155" t="n">
        <v>-32.07</v>
      </c>
      <c r="K155" t="n">
        <v>14.04</v>
      </c>
      <c r="L155">
        <f>ROUND(SQRT((I155-I149)^2+(J155-J149)^2+(K155-K149)^2),2)</f>
        <v/>
      </c>
      <c r="M155" t="inlineStr">
        <is>
          <t>measured</t>
        </is>
      </c>
    </row>
    <row r="156">
      <c r="A156" t="inlineStr">
        <is>
          <t>40C_10RH_chamber</t>
        </is>
      </c>
      <c r="B156" t="inlineStr">
        <is>
          <t>40 C / 10%RH (chamber arm)</t>
        </is>
      </c>
      <c r="C156" t="inlineStr">
        <is>
          <t>measured</t>
        </is>
      </c>
      <c r="D156" t="inlineStr">
        <is>
          <t>Malachite</t>
        </is>
      </c>
      <c r="E156" t="inlineStr">
        <is>
          <t>pedestal</t>
        </is>
      </c>
      <c r="F156" t="inlineStr">
        <is>
          <t>HG.3</t>
        </is>
      </c>
      <c r="G156" t="inlineStr">
        <is>
          <t>5.08</t>
        </is>
      </c>
      <c r="H156" t="n">
        <v>21</v>
      </c>
      <c r="I156" t="n">
        <v>59.44</v>
      </c>
      <c r="J156" t="n">
        <v>-30.65</v>
      </c>
      <c r="K156" t="n">
        <v>15.74</v>
      </c>
      <c r="L156">
        <f>ROUND(SQRT((I156-I149)^2+(J156-J149)^2+(K156-K149)^2),2)</f>
        <v/>
      </c>
      <c r="M156" t="inlineStr">
        <is>
          <t>measured</t>
        </is>
      </c>
    </row>
    <row r="157">
      <c r="A157" t="inlineStr">
        <is>
          <t>40C_10RH_chamber</t>
        </is>
      </c>
      <c r="B157" t="inlineStr">
        <is>
          <t>40 C / 10%RH (chamber arm)</t>
        </is>
      </c>
      <c r="C157" t="inlineStr">
        <is>
          <t>measured</t>
        </is>
      </c>
      <c r="D157" t="inlineStr">
        <is>
          <t>Malachite</t>
        </is>
      </c>
      <c r="E157" t="inlineStr">
        <is>
          <t>pedestal</t>
        </is>
      </c>
      <c r="F157" t="inlineStr">
        <is>
          <t>HG.3</t>
        </is>
      </c>
      <c r="G157" t="inlineStr">
        <is>
          <t>5.11</t>
        </is>
      </c>
      <c r="H157" t="n">
        <v>24</v>
      </c>
      <c r="I157" t="n">
        <v>59.44</v>
      </c>
      <c r="J157" t="n">
        <v>-31.47</v>
      </c>
      <c r="K157" t="n">
        <v>15.15</v>
      </c>
      <c r="L157">
        <f>ROUND(SQRT((I157-I149)^2+(J157-J149)^2+(K157-K149)^2),2)</f>
        <v/>
      </c>
      <c r="M157" t="inlineStr">
        <is>
          <t>measured</t>
        </is>
      </c>
    </row>
    <row r="158">
      <c r="A158" t="inlineStr">
        <is>
          <t>40C_10RH_chamber</t>
        </is>
      </c>
      <c r="B158" t="inlineStr">
        <is>
          <t>40 C / 10%RH (chamber arm)</t>
        </is>
      </c>
      <c r="C158" t="inlineStr">
        <is>
          <t>measured</t>
        </is>
      </c>
      <c r="D158" t="inlineStr">
        <is>
          <t>Malachite</t>
        </is>
      </c>
      <c r="E158" t="inlineStr">
        <is>
          <t>pedestal</t>
        </is>
      </c>
      <c r="F158" t="inlineStr">
        <is>
          <t>HG.3</t>
        </is>
      </c>
      <c r="G158" t="inlineStr">
        <is>
          <t>5.12</t>
        </is>
      </c>
      <c r="H158" t="n">
        <v>25</v>
      </c>
      <c r="I158" t="n">
        <v>59.4</v>
      </c>
      <c r="J158" t="n">
        <v>-31.93</v>
      </c>
      <c r="K158" t="n">
        <v>16.54</v>
      </c>
      <c r="L158">
        <f>ROUND(SQRT((I158-I149)^2+(J158-J149)^2+(K158-K149)^2),2)</f>
        <v/>
      </c>
      <c r="M158" t="inlineStr">
        <is>
          <t>measured</t>
        </is>
      </c>
    </row>
    <row r="159">
      <c r="A159" t="inlineStr">
        <is>
          <t>40C_10RH_chamber</t>
        </is>
      </c>
      <c r="B159" t="inlineStr">
        <is>
          <t>40 C / 10%RH (chamber arm)</t>
        </is>
      </c>
      <c r="C159" t="inlineStr">
        <is>
          <t>measured</t>
        </is>
      </c>
      <c r="D159" t="inlineStr">
        <is>
          <t>Malachite</t>
        </is>
      </c>
      <c r="E159" t="inlineStr">
        <is>
          <t>pedestal</t>
        </is>
      </c>
      <c r="F159" t="inlineStr">
        <is>
          <t>HG.3</t>
        </is>
      </c>
      <c r="G159" t="inlineStr">
        <is>
          <t>5.14</t>
        </is>
      </c>
      <c r="H159" t="n">
        <v>27</v>
      </c>
      <c r="I159" t="n">
        <v>60.06</v>
      </c>
      <c r="J159" t="n">
        <v>-32.36</v>
      </c>
      <c r="K159" t="n">
        <v>15.51</v>
      </c>
      <c r="L159">
        <f>ROUND(SQRT((I159-I149)^2+(J159-J149)^2+(K159-K149)^2),2)</f>
        <v/>
      </c>
      <c r="M159" t="inlineStr">
        <is>
          <t>measured</t>
        </is>
      </c>
    </row>
    <row r="160">
      <c r="A160" t="inlineStr">
        <is>
          <t>40C_10RH_chamber</t>
        </is>
      </c>
      <c r="B160" t="inlineStr">
        <is>
          <t>40 C / 10%RH (chamber arm)</t>
        </is>
      </c>
      <c r="C160" t="inlineStr">
        <is>
          <t>measured</t>
        </is>
      </c>
      <c r="D160" t="inlineStr">
        <is>
          <t>Malachite</t>
        </is>
      </c>
      <c r="E160" t="inlineStr">
        <is>
          <t>pedestal</t>
        </is>
      </c>
      <c r="F160" t="inlineStr">
        <is>
          <t>HG.3</t>
        </is>
      </c>
      <c r="G160" t="inlineStr">
        <is>
          <t>5.18</t>
        </is>
      </c>
      <c r="H160" t="n">
        <v>31</v>
      </c>
      <c r="I160" t="n">
        <v>59.99</v>
      </c>
      <c r="J160" t="n">
        <v>-32.33</v>
      </c>
      <c r="K160" t="n">
        <v>16.26</v>
      </c>
      <c r="L160">
        <f>ROUND(SQRT((I160-I149)^2+(J160-J149)^2+(K160-K149)^2),2)</f>
        <v/>
      </c>
      <c r="M160" t="inlineStr">
        <is>
          <t>measured</t>
        </is>
      </c>
    </row>
    <row r="161">
      <c r="A161" t="inlineStr">
        <is>
          <t>40C_10RH_chamber</t>
        </is>
      </c>
      <c r="B161" t="inlineStr">
        <is>
          <t>40 C / 10%RH (chamber arm)</t>
        </is>
      </c>
      <c r="C161" t="inlineStr">
        <is>
          <t>measured</t>
        </is>
      </c>
      <c r="D161" t="inlineStr">
        <is>
          <t>Malachite</t>
        </is>
      </c>
      <c r="E161" t="inlineStr">
        <is>
          <t>pedestal</t>
        </is>
      </c>
      <c r="F161" t="inlineStr">
        <is>
          <t>HG.3</t>
        </is>
      </c>
      <c r="G161" t="inlineStr">
        <is>
          <t>5.21</t>
        </is>
      </c>
      <c r="H161" t="n">
        <v>34</v>
      </c>
      <c r="I161" t="n">
        <v>58.72</v>
      </c>
      <c r="J161" t="n">
        <v>-33.54</v>
      </c>
      <c r="K161" t="n">
        <v>16.38</v>
      </c>
      <c r="L161">
        <f>ROUND(SQRT((I161-I149)^2+(J161-J149)^2+(K161-K149)^2),2)</f>
        <v/>
      </c>
      <c r="M161" t="inlineStr">
        <is>
          <t>measured</t>
        </is>
      </c>
    </row>
    <row r="162">
      <c r="A162" t="inlineStr">
        <is>
          <t>40C_10RH_chamber</t>
        </is>
      </c>
      <c r="B162" t="inlineStr">
        <is>
          <t>40 C / 10%RH (chamber arm)</t>
        </is>
      </c>
      <c r="C162" t="inlineStr">
        <is>
          <t>measured</t>
        </is>
      </c>
      <c r="D162" t="inlineStr">
        <is>
          <t>Malachite</t>
        </is>
      </c>
      <c r="E162" t="inlineStr">
        <is>
          <t>pedestal</t>
        </is>
      </c>
      <c r="F162" t="inlineStr">
        <is>
          <t>HG.3</t>
        </is>
      </c>
      <c r="G162" t="inlineStr">
        <is>
          <t>5.24</t>
        </is>
      </c>
      <c r="H162" t="n">
        <v>37</v>
      </c>
      <c r="I162" t="n">
        <v>59.24</v>
      </c>
      <c r="J162" t="n">
        <v>-31.87</v>
      </c>
      <c r="K162" t="n">
        <v>17.27</v>
      </c>
      <c r="L162">
        <f>ROUND(SQRT((I162-I149)^2+(J162-J149)^2+(K162-K149)^2),2)</f>
        <v/>
      </c>
      <c r="M162" t="inlineStr">
        <is>
          <t>measured</t>
        </is>
      </c>
    </row>
    <row r="163">
      <c r="A163" t="inlineStr">
        <is>
          <t>40C_10RH_chamber</t>
        </is>
      </c>
      <c r="B163" t="inlineStr">
        <is>
          <t>40 C / 10%RH (chamber arm)</t>
        </is>
      </c>
      <c r="C163" t="inlineStr">
        <is>
          <t>measured</t>
        </is>
      </c>
      <c r="D163" t="inlineStr">
        <is>
          <t>Malachite</t>
        </is>
      </c>
      <c r="E163" t="inlineStr">
        <is>
          <t>pedestal</t>
        </is>
      </c>
      <c r="F163" t="inlineStr">
        <is>
          <t>HG.3</t>
        </is>
      </c>
      <c r="G163" t="inlineStr">
        <is>
          <t>5.28</t>
        </is>
      </c>
      <c r="H163" t="n">
        <v>41</v>
      </c>
      <c r="I163" t="n">
        <v>58.54</v>
      </c>
      <c r="J163" t="n">
        <v>-31.46</v>
      </c>
      <c r="K163" t="n">
        <v>15.84</v>
      </c>
      <c r="L163">
        <f>ROUND(SQRT((I163-I149)^2+(J163-J149)^2+(K163-K149)^2),2)</f>
        <v/>
      </c>
      <c r="M163" t="inlineStr">
        <is>
          <t>measured</t>
        </is>
      </c>
    </row>
    <row r="164">
      <c r="A164" t="inlineStr">
        <is>
          <t>40C_10RH_chamber</t>
        </is>
      </c>
      <c r="B164" t="inlineStr">
        <is>
          <t>40 C / 10%RH (chamber arm)</t>
        </is>
      </c>
      <c r="C164" t="inlineStr">
        <is>
          <t>measured</t>
        </is>
      </c>
      <c r="D164" t="inlineStr">
        <is>
          <t>Malachite</t>
        </is>
      </c>
      <c r="E164" t="inlineStr">
        <is>
          <t>pedestal</t>
        </is>
      </c>
      <c r="F164" t="inlineStr">
        <is>
          <t>HG.3</t>
        </is>
      </c>
      <c r="G164" t="inlineStr">
        <is>
          <t>5.31</t>
        </is>
      </c>
      <c r="H164" t="n">
        <v>44</v>
      </c>
      <c r="I164" t="n">
        <v>59</v>
      </c>
      <c r="J164" t="n">
        <v>-33.15</v>
      </c>
      <c r="K164" t="n">
        <v>16.24</v>
      </c>
      <c r="L164">
        <f>ROUND(SQRT((I164-I149)^2+(J164-J149)^2+(K164-K149)^2),2)</f>
        <v/>
      </c>
      <c r="M164" t="inlineStr">
        <is>
          <t>measured</t>
        </is>
      </c>
    </row>
    <row r="165">
      <c r="A165" t="inlineStr">
        <is>
          <t>40C_10RH_chamber</t>
        </is>
      </c>
      <c r="B165" t="inlineStr">
        <is>
          <t>40 C / 10%RH (chamber arm)</t>
        </is>
      </c>
      <c r="C165" t="inlineStr">
        <is>
          <t>measured</t>
        </is>
      </c>
      <c r="D165" t="inlineStr">
        <is>
          <t>Malachite</t>
        </is>
      </c>
      <c r="E165" t="inlineStr">
        <is>
          <t>pedestal</t>
        </is>
      </c>
      <c r="F165" t="inlineStr">
        <is>
          <t>HG.3</t>
        </is>
      </c>
      <c r="G165" t="inlineStr">
        <is>
          <t>6.03</t>
        </is>
      </c>
      <c r="H165" t="n">
        <v>47</v>
      </c>
      <c r="I165" t="n">
        <v>58.56</v>
      </c>
      <c r="J165" t="n">
        <v>-32.51</v>
      </c>
      <c r="K165" t="n">
        <v>14.94</v>
      </c>
      <c r="L165">
        <f>ROUND(SQRT((I165-I149)^2+(J165-J149)^2+(K165-K149)^2),2)</f>
        <v/>
      </c>
      <c r="M165" t="inlineStr">
        <is>
          <t>measured</t>
        </is>
      </c>
    </row>
    <row r="166">
      <c r="A166" t="inlineStr">
        <is>
          <t>40C_10RH_chamber</t>
        </is>
      </c>
      <c r="B166" t="inlineStr">
        <is>
          <t>40 C / 10%RH (chamber arm)</t>
        </is>
      </c>
      <c r="C166" t="inlineStr">
        <is>
          <t>measured</t>
        </is>
      </c>
      <c r="D166" t="inlineStr">
        <is>
          <t>Malachite</t>
        </is>
      </c>
      <c r="E166" t="inlineStr">
        <is>
          <t>pedestal</t>
        </is>
      </c>
      <c r="F166" t="inlineStr">
        <is>
          <t>HG.3</t>
        </is>
      </c>
      <c r="G166" t="inlineStr">
        <is>
          <t>6.06</t>
        </is>
      </c>
      <c r="H166" t="n">
        <v>50</v>
      </c>
      <c r="I166" t="n">
        <v>60.11</v>
      </c>
      <c r="J166" t="n">
        <v>-32.86</v>
      </c>
      <c r="K166" t="n">
        <v>16.81</v>
      </c>
      <c r="L166">
        <f>ROUND(SQRT((I166-I149)^2+(J166-J149)^2+(K166-K149)^2),2)</f>
        <v/>
      </c>
      <c r="M166" t="inlineStr">
        <is>
          <t>measured</t>
        </is>
      </c>
    </row>
    <row r="167">
      <c r="A167" t="inlineStr">
        <is>
          <t>40C_10RH_chamber</t>
        </is>
      </c>
      <c r="B167" t="inlineStr">
        <is>
          <t>40 C / 10%RH (chamber arm)</t>
        </is>
      </c>
      <c r="C167" t="inlineStr">
        <is>
          <t>measured</t>
        </is>
      </c>
      <c r="D167" t="inlineStr">
        <is>
          <t>Malachite</t>
        </is>
      </c>
      <c r="E167" t="inlineStr">
        <is>
          <t>pedestal</t>
        </is>
      </c>
      <c r="F167" t="inlineStr">
        <is>
          <t>HG.3</t>
        </is>
      </c>
      <c r="G167" t="inlineStr">
        <is>
          <t>6.09</t>
        </is>
      </c>
      <c r="H167" t="n">
        <v>53</v>
      </c>
      <c r="I167" t="n">
        <v>59.23</v>
      </c>
      <c r="J167" t="n">
        <v>-32.73</v>
      </c>
      <c r="K167" t="n">
        <v>15.45</v>
      </c>
      <c r="L167">
        <f>ROUND(SQRT((I167-I149)^2+(J167-J149)^2+(K167-K149)^2),2)</f>
        <v/>
      </c>
      <c r="M167" t="inlineStr">
        <is>
          <t>measured</t>
        </is>
      </c>
    </row>
    <row r="168">
      <c r="A168" t="inlineStr">
        <is>
          <t>40C_10RH_chamber</t>
        </is>
      </c>
      <c r="B168" t="inlineStr">
        <is>
          <t>40 C / 10%RH (chamber arm)</t>
        </is>
      </c>
      <c r="C168" t="inlineStr">
        <is>
          <t>measured</t>
        </is>
      </c>
      <c r="D168" t="inlineStr">
        <is>
          <t>Malachite</t>
        </is>
      </c>
      <c r="E168" t="inlineStr">
        <is>
          <t>pedestal</t>
        </is>
      </c>
      <c r="F168" t="inlineStr">
        <is>
          <t>HG.3</t>
        </is>
      </c>
      <c r="G168" t="inlineStr">
        <is>
          <t>6.13</t>
        </is>
      </c>
      <c r="H168" t="n">
        <v>57</v>
      </c>
      <c r="I168" t="n">
        <v>58.83</v>
      </c>
      <c r="J168" t="n">
        <v>-32.01</v>
      </c>
      <c r="K168" t="n">
        <v>15.59</v>
      </c>
      <c r="L168">
        <f>ROUND(SQRT((I168-I149)^2+(J168-J149)^2+(K168-K149)^2),2)</f>
        <v/>
      </c>
      <c r="M168" t="inlineStr">
        <is>
          <t>measured</t>
        </is>
      </c>
    </row>
    <row r="169">
      <c r="A169" t="inlineStr">
        <is>
          <t>40C_10RH_chamber</t>
        </is>
      </c>
      <c r="B169" t="inlineStr">
        <is>
          <t>40 C / 10%RH (chamber arm)</t>
        </is>
      </c>
      <c r="C169" t="inlineStr">
        <is>
          <t>measured</t>
        </is>
      </c>
      <c r="D169" t="inlineStr">
        <is>
          <t>Malachite</t>
        </is>
      </c>
      <c r="E169" t="inlineStr">
        <is>
          <t>pedestal</t>
        </is>
      </c>
      <c r="F169" t="inlineStr">
        <is>
          <t>HG.3</t>
        </is>
      </c>
      <c r="G169" t="inlineStr">
        <is>
          <t>6.17</t>
        </is>
      </c>
      <c r="H169" t="n">
        <v>61</v>
      </c>
      <c r="I169" t="n">
        <v>59.82</v>
      </c>
      <c r="J169" t="n">
        <v>-33.51</v>
      </c>
      <c r="K169" t="n">
        <v>15.96</v>
      </c>
      <c r="L169">
        <f>ROUND(SQRT((I169-I149)^2+(J169-J149)^2+(K169-K149)^2),2)</f>
        <v/>
      </c>
      <c r="M169" t="inlineStr">
        <is>
          <t>measured</t>
        </is>
      </c>
    </row>
    <row r="170">
      <c r="A170" t="inlineStr">
        <is>
          <t>40C_10RH_chamber</t>
        </is>
      </c>
      <c r="B170" t="inlineStr">
        <is>
          <t>40 C / 10%RH (chamber arm)</t>
        </is>
      </c>
      <c r="C170" t="inlineStr">
        <is>
          <t>measured</t>
        </is>
      </c>
      <c r="D170" t="inlineStr">
        <is>
          <t>Malachite</t>
        </is>
      </c>
      <c r="E170" t="inlineStr">
        <is>
          <t>block</t>
        </is>
      </c>
      <c r="F170" t="inlineStr">
        <is>
          <t>HTG.1</t>
        </is>
      </c>
      <c r="G170" t="inlineStr">
        <is>
          <t>4.17</t>
        </is>
      </c>
      <c r="H170" t="n">
        <v>0</v>
      </c>
      <c r="I170" t="n">
        <v>59.81</v>
      </c>
      <c r="J170" t="n">
        <v>-32.16</v>
      </c>
      <c r="K170" t="n">
        <v>15.73</v>
      </c>
      <c r="L170" t="n">
        <v>0</v>
      </c>
      <c r="M170" t="inlineStr">
        <is>
          <t>measured</t>
        </is>
      </c>
    </row>
    <row r="171">
      <c r="A171" t="inlineStr">
        <is>
          <t>40C_10RH_chamber</t>
        </is>
      </c>
      <c r="B171" t="inlineStr">
        <is>
          <t>40 C / 10%RH (chamber arm)</t>
        </is>
      </c>
      <c r="C171" t="inlineStr">
        <is>
          <t>measured</t>
        </is>
      </c>
      <c r="D171" t="inlineStr">
        <is>
          <t>Malachite</t>
        </is>
      </c>
      <c r="E171" t="inlineStr">
        <is>
          <t>block</t>
        </is>
      </c>
      <c r="F171" t="inlineStr">
        <is>
          <t>HTG.1</t>
        </is>
      </c>
      <c r="G171" t="inlineStr">
        <is>
          <t>4.20</t>
        </is>
      </c>
      <c r="H171" t="n">
        <v>3</v>
      </c>
      <c r="I171" t="n">
        <v>59.68</v>
      </c>
      <c r="J171" t="n">
        <v>-30.46</v>
      </c>
      <c r="K171" t="n">
        <v>14.98</v>
      </c>
      <c r="L171">
        <f>ROUND(SQRT((I171-I170)^2+(J171-J170)^2+(K171-K170)^2),2)</f>
        <v/>
      </c>
      <c r="M171" t="inlineStr">
        <is>
          <t>measured</t>
        </is>
      </c>
    </row>
    <row r="172">
      <c r="A172" t="inlineStr">
        <is>
          <t>40C_10RH_chamber</t>
        </is>
      </c>
      <c r="B172" t="inlineStr">
        <is>
          <t>40 C / 10%RH (chamber arm)</t>
        </is>
      </c>
      <c r="C172" t="inlineStr">
        <is>
          <t>measured</t>
        </is>
      </c>
      <c r="D172" t="inlineStr">
        <is>
          <t>Malachite</t>
        </is>
      </c>
      <c r="E172" t="inlineStr">
        <is>
          <t>block</t>
        </is>
      </c>
      <c r="F172" t="inlineStr">
        <is>
          <t>HTG.1</t>
        </is>
      </c>
      <c r="G172" t="inlineStr">
        <is>
          <t>4.23</t>
        </is>
      </c>
      <c r="H172" t="n">
        <v>6</v>
      </c>
      <c r="I172" t="n">
        <v>58.81</v>
      </c>
      <c r="J172" t="n">
        <v>-32.88</v>
      </c>
      <c r="K172" t="n">
        <v>15.3</v>
      </c>
      <c r="L172">
        <f>ROUND(SQRT((I172-I170)^2+(J172-J170)^2+(K172-K170)^2),2)</f>
        <v/>
      </c>
      <c r="M172" t="inlineStr">
        <is>
          <t>measured</t>
        </is>
      </c>
    </row>
    <row r="173">
      <c r="A173" t="inlineStr">
        <is>
          <t>40C_10RH_chamber</t>
        </is>
      </c>
      <c r="B173" t="inlineStr">
        <is>
          <t>40 C / 10%RH (chamber arm)</t>
        </is>
      </c>
      <c r="C173" t="inlineStr">
        <is>
          <t>measured</t>
        </is>
      </c>
      <c r="D173" t="inlineStr">
        <is>
          <t>Malachite</t>
        </is>
      </c>
      <c r="E173" t="inlineStr">
        <is>
          <t>block</t>
        </is>
      </c>
      <c r="F173" t="inlineStr">
        <is>
          <t>HTG.1</t>
        </is>
      </c>
      <c r="G173" t="inlineStr">
        <is>
          <t>4.26</t>
        </is>
      </c>
      <c r="H173" t="n">
        <v>9</v>
      </c>
      <c r="I173" t="n">
        <v>60.21</v>
      </c>
      <c r="J173" t="n">
        <v>-32.15</v>
      </c>
      <c r="K173" t="n">
        <v>16.5</v>
      </c>
      <c r="L173">
        <f>ROUND(SQRT((I173-I170)^2+(J173-J170)^2+(K173-K170)^2),2)</f>
        <v/>
      </c>
      <c r="M173" t="inlineStr">
        <is>
          <t>measured</t>
        </is>
      </c>
    </row>
    <row r="174">
      <c r="A174" t="inlineStr">
        <is>
          <t>40C_10RH_chamber</t>
        </is>
      </c>
      <c r="B174" t="inlineStr">
        <is>
          <t>40 C / 10%RH (chamber arm)</t>
        </is>
      </c>
      <c r="C174" t="inlineStr">
        <is>
          <t>measured</t>
        </is>
      </c>
      <c r="D174" t="inlineStr">
        <is>
          <t>Malachite</t>
        </is>
      </c>
      <c r="E174" t="inlineStr">
        <is>
          <t>block</t>
        </is>
      </c>
      <c r="F174" t="inlineStr">
        <is>
          <t>HTG.1</t>
        </is>
      </c>
      <c r="G174" t="inlineStr">
        <is>
          <t>4.29</t>
        </is>
      </c>
      <c r="H174" t="n">
        <v>12</v>
      </c>
      <c r="I174" t="n">
        <v>58.18</v>
      </c>
      <c r="J174" t="n">
        <v>-30.8</v>
      </c>
      <c r="K174" t="n">
        <v>15.17</v>
      </c>
      <c r="L174">
        <f>ROUND(SQRT((I174-I170)^2+(J174-J170)^2+(K174-K170)^2),2)</f>
        <v/>
      </c>
      <c r="M174" t="inlineStr">
        <is>
          <t>measured</t>
        </is>
      </c>
    </row>
    <row r="175">
      <c r="A175" t="inlineStr">
        <is>
          <t>40C_10RH_chamber</t>
        </is>
      </c>
      <c r="B175" t="inlineStr">
        <is>
          <t>40 C / 10%RH (chamber arm)</t>
        </is>
      </c>
      <c r="C175" t="inlineStr">
        <is>
          <t>measured</t>
        </is>
      </c>
      <c r="D175" t="inlineStr">
        <is>
          <t>Malachite</t>
        </is>
      </c>
      <c r="E175" t="inlineStr">
        <is>
          <t>block</t>
        </is>
      </c>
      <c r="F175" t="inlineStr">
        <is>
          <t>HTG.1</t>
        </is>
      </c>
      <c r="G175" t="inlineStr">
        <is>
          <t>5.02</t>
        </is>
      </c>
      <c r="H175" t="n">
        <v>15</v>
      </c>
      <c r="I175" t="n">
        <v>60.34</v>
      </c>
      <c r="J175" t="n">
        <v>-31.2</v>
      </c>
      <c r="K175" t="n">
        <v>16.04</v>
      </c>
      <c r="L175">
        <f>ROUND(SQRT((I175-I170)^2+(J175-J170)^2+(K175-K170)^2),2)</f>
        <v/>
      </c>
      <c r="M175" t="inlineStr">
        <is>
          <t>measured</t>
        </is>
      </c>
    </row>
    <row r="176">
      <c r="A176" t="inlineStr">
        <is>
          <t>40C_10RH_chamber</t>
        </is>
      </c>
      <c r="B176" t="inlineStr">
        <is>
          <t>40 C / 10%RH (chamber arm)</t>
        </is>
      </c>
      <c r="C176" t="inlineStr">
        <is>
          <t>measured</t>
        </is>
      </c>
      <c r="D176" t="inlineStr">
        <is>
          <t>Malachite</t>
        </is>
      </c>
      <c r="E176" t="inlineStr">
        <is>
          <t>block</t>
        </is>
      </c>
      <c r="F176" t="inlineStr">
        <is>
          <t>HTG.1</t>
        </is>
      </c>
      <c r="G176" t="inlineStr">
        <is>
          <t>5.05</t>
        </is>
      </c>
      <c r="H176" t="n">
        <v>18</v>
      </c>
      <c r="I176" t="n">
        <v>58.86</v>
      </c>
      <c r="J176" t="n">
        <v>-32.49</v>
      </c>
      <c r="K176" t="n">
        <v>15.18</v>
      </c>
      <c r="L176">
        <f>ROUND(SQRT((I176-I170)^2+(J176-J170)^2+(K176-K170)^2),2)</f>
        <v/>
      </c>
      <c r="M176" t="inlineStr">
        <is>
          <t>measured</t>
        </is>
      </c>
    </row>
    <row r="177">
      <c r="A177" t="inlineStr">
        <is>
          <t>40C_10RH_chamber</t>
        </is>
      </c>
      <c r="B177" t="inlineStr">
        <is>
          <t>40 C / 10%RH (chamber arm)</t>
        </is>
      </c>
      <c r="C177" t="inlineStr">
        <is>
          <t>measured</t>
        </is>
      </c>
      <c r="D177" t="inlineStr">
        <is>
          <t>Malachite</t>
        </is>
      </c>
      <c r="E177" t="inlineStr">
        <is>
          <t>block</t>
        </is>
      </c>
      <c r="F177" t="inlineStr">
        <is>
          <t>HTG.1</t>
        </is>
      </c>
      <c r="G177" t="inlineStr">
        <is>
          <t>5.08</t>
        </is>
      </c>
      <c r="H177" t="n">
        <v>21</v>
      </c>
      <c r="I177" t="n">
        <v>59.96</v>
      </c>
      <c r="J177" t="n">
        <v>-31.82</v>
      </c>
      <c r="K177" t="n">
        <v>15.7</v>
      </c>
      <c r="L177">
        <f>ROUND(SQRT((I177-I170)^2+(J177-J170)^2+(K177-K170)^2),2)</f>
        <v/>
      </c>
      <c r="M177" t="inlineStr">
        <is>
          <t>measured</t>
        </is>
      </c>
    </row>
    <row r="178">
      <c r="A178" t="inlineStr">
        <is>
          <t>40C_10RH_chamber</t>
        </is>
      </c>
      <c r="B178" t="inlineStr">
        <is>
          <t>40 C / 10%RH (chamber arm)</t>
        </is>
      </c>
      <c r="C178" t="inlineStr">
        <is>
          <t>measured</t>
        </is>
      </c>
      <c r="D178" t="inlineStr">
        <is>
          <t>Malachite</t>
        </is>
      </c>
      <c r="E178" t="inlineStr">
        <is>
          <t>block</t>
        </is>
      </c>
      <c r="F178" t="inlineStr">
        <is>
          <t>HTG.1</t>
        </is>
      </c>
      <c r="G178" t="inlineStr">
        <is>
          <t>5.11</t>
        </is>
      </c>
      <c r="H178" t="n">
        <v>24</v>
      </c>
      <c r="I178" t="n">
        <v>59.85</v>
      </c>
      <c r="J178" t="n">
        <v>-31.95</v>
      </c>
      <c r="K178" t="n">
        <v>15.4</v>
      </c>
      <c r="L178">
        <f>ROUND(SQRT((I178-I170)^2+(J178-J170)^2+(K178-K170)^2),2)</f>
        <v/>
      </c>
      <c r="M178" t="inlineStr">
        <is>
          <t>measured</t>
        </is>
      </c>
    </row>
    <row r="179">
      <c r="A179" t="inlineStr">
        <is>
          <t>40C_10RH_chamber</t>
        </is>
      </c>
      <c r="B179" t="inlineStr">
        <is>
          <t>40 C / 10%RH (chamber arm)</t>
        </is>
      </c>
      <c r="C179" t="inlineStr">
        <is>
          <t>measured</t>
        </is>
      </c>
      <c r="D179" t="inlineStr">
        <is>
          <t>Malachite</t>
        </is>
      </c>
      <c r="E179" t="inlineStr">
        <is>
          <t>block</t>
        </is>
      </c>
      <c r="F179" t="inlineStr">
        <is>
          <t>HTG.1</t>
        </is>
      </c>
      <c r="G179" t="inlineStr">
        <is>
          <t>5.12</t>
        </is>
      </c>
      <c r="H179" t="n">
        <v>25</v>
      </c>
      <c r="I179" t="n">
        <v>60.76</v>
      </c>
      <c r="J179" t="n">
        <v>-31.75</v>
      </c>
      <c r="K179" t="n">
        <v>16.1</v>
      </c>
      <c r="L179">
        <f>ROUND(SQRT((I179-I170)^2+(J179-J170)^2+(K179-K170)^2),2)</f>
        <v/>
      </c>
      <c r="M179" t="inlineStr">
        <is>
          <t>measured</t>
        </is>
      </c>
    </row>
    <row r="180">
      <c r="A180" t="inlineStr">
        <is>
          <t>40C_10RH_chamber</t>
        </is>
      </c>
      <c r="B180" t="inlineStr">
        <is>
          <t>40 C / 10%RH (chamber arm)</t>
        </is>
      </c>
      <c r="C180" t="inlineStr">
        <is>
          <t>measured</t>
        </is>
      </c>
      <c r="D180" t="inlineStr">
        <is>
          <t>Malachite</t>
        </is>
      </c>
      <c r="E180" t="inlineStr">
        <is>
          <t>block</t>
        </is>
      </c>
      <c r="F180" t="inlineStr">
        <is>
          <t>HTG.1</t>
        </is>
      </c>
      <c r="G180" t="inlineStr">
        <is>
          <t>5.14</t>
        </is>
      </c>
      <c r="H180" t="n">
        <v>27</v>
      </c>
      <c r="I180" t="n">
        <v>59.83</v>
      </c>
      <c r="J180" t="n">
        <v>-32.42</v>
      </c>
      <c r="K180" t="n">
        <v>15.1</v>
      </c>
      <c r="L180">
        <f>ROUND(SQRT((I180-I170)^2+(J180-J170)^2+(K180-K170)^2),2)</f>
        <v/>
      </c>
      <c r="M180" t="inlineStr">
        <is>
          <t>measured</t>
        </is>
      </c>
    </row>
    <row r="181">
      <c r="A181" t="inlineStr">
        <is>
          <t>40C_10RH_chamber</t>
        </is>
      </c>
      <c r="B181" t="inlineStr">
        <is>
          <t>40 C / 10%RH (chamber arm)</t>
        </is>
      </c>
      <c r="C181" t="inlineStr">
        <is>
          <t>measured</t>
        </is>
      </c>
      <c r="D181" t="inlineStr">
        <is>
          <t>Malachite</t>
        </is>
      </c>
      <c r="E181" t="inlineStr">
        <is>
          <t>block</t>
        </is>
      </c>
      <c r="F181" t="inlineStr">
        <is>
          <t>HTG.1</t>
        </is>
      </c>
      <c r="G181" t="inlineStr">
        <is>
          <t>5.18</t>
        </is>
      </c>
      <c r="H181" t="n">
        <v>31</v>
      </c>
      <c r="I181" t="n">
        <v>59.49</v>
      </c>
      <c r="J181" t="n">
        <v>-31.96</v>
      </c>
      <c r="K181" t="n">
        <v>14.33</v>
      </c>
      <c r="L181">
        <f>ROUND(SQRT((I181-I170)^2+(J181-J170)^2+(K181-K170)^2),2)</f>
        <v/>
      </c>
      <c r="M181" t="inlineStr">
        <is>
          <t>measured</t>
        </is>
      </c>
    </row>
    <row r="182">
      <c r="A182" t="inlineStr">
        <is>
          <t>40C_10RH_chamber</t>
        </is>
      </c>
      <c r="B182" t="inlineStr">
        <is>
          <t>40 C / 10%RH (chamber arm)</t>
        </is>
      </c>
      <c r="C182" t="inlineStr">
        <is>
          <t>measured</t>
        </is>
      </c>
      <c r="D182" t="inlineStr">
        <is>
          <t>Malachite</t>
        </is>
      </c>
      <c r="E182" t="inlineStr">
        <is>
          <t>block</t>
        </is>
      </c>
      <c r="F182" t="inlineStr">
        <is>
          <t>HTG.1</t>
        </is>
      </c>
      <c r="G182" t="inlineStr">
        <is>
          <t>5.21</t>
        </is>
      </c>
      <c r="H182" t="n">
        <v>34</v>
      </c>
      <c r="I182" t="n">
        <v>59.63</v>
      </c>
      <c r="J182" t="n">
        <v>-32.99</v>
      </c>
      <c r="K182" t="n">
        <v>14.44</v>
      </c>
      <c r="L182">
        <f>ROUND(SQRT((I182-I170)^2+(J182-J170)^2+(K182-K170)^2),2)</f>
        <v/>
      </c>
      <c r="M182" t="inlineStr">
        <is>
          <t>measured</t>
        </is>
      </c>
    </row>
    <row r="183">
      <c r="A183" t="inlineStr">
        <is>
          <t>40C_10RH_chamber</t>
        </is>
      </c>
      <c r="B183" t="inlineStr">
        <is>
          <t>40 C / 10%RH (chamber arm)</t>
        </is>
      </c>
      <c r="C183" t="inlineStr">
        <is>
          <t>measured</t>
        </is>
      </c>
      <c r="D183" t="inlineStr">
        <is>
          <t>Malachite</t>
        </is>
      </c>
      <c r="E183" t="inlineStr">
        <is>
          <t>block</t>
        </is>
      </c>
      <c r="F183" t="inlineStr">
        <is>
          <t>HTG.1</t>
        </is>
      </c>
      <c r="G183" t="inlineStr">
        <is>
          <t>5.24</t>
        </is>
      </c>
      <c r="H183" t="n">
        <v>37</v>
      </c>
      <c r="I183" t="n">
        <v>60.89</v>
      </c>
      <c r="J183" t="n">
        <v>-31.75</v>
      </c>
      <c r="K183" t="n">
        <v>15.01</v>
      </c>
      <c r="L183">
        <f>ROUND(SQRT((I183-I170)^2+(J183-J170)^2+(K183-K170)^2),2)</f>
        <v/>
      </c>
      <c r="M183" t="inlineStr">
        <is>
          <t>measured</t>
        </is>
      </c>
    </row>
    <row r="184">
      <c r="A184" t="inlineStr">
        <is>
          <t>40C_10RH_chamber</t>
        </is>
      </c>
      <c r="B184" t="inlineStr">
        <is>
          <t>40 C / 10%RH (chamber arm)</t>
        </is>
      </c>
      <c r="C184" t="inlineStr">
        <is>
          <t>measured</t>
        </is>
      </c>
      <c r="D184" t="inlineStr">
        <is>
          <t>Malachite</t>
        </is>
      </c>
      <c r="E184" t="inlineStr">
        <is>
          <t>block</t>
        </is>
      </c>
      <c r="F184" t="inlineStr">
        <is>
          <t>HTG.1</t>
        </is>
      </c>
      <c r="G184" t="inlineStr">
        <is>
          <t>5.28</t>
        </is>
      </c>
      <c r="H184" t="n">
        <v>41</v>
      </c>
      <c r="I184" t="n">
        <v>60.4</v>
      </c>
      <c r="J184" t="n">
        <v>-31.49</v>
      </c>
      <c r="K184" t="n">
        <v>14.47</v>
      </c>
      <c r="L184">
        <f>ROUND(SQRT((I184-I170)^2+(J184-J170)^2+(K184-K170)^2),2)</f>
        <v/>
      </c>
      <c r="M184" t="inlineStr">
        <is>
          <t>measured</t>
        </is>
      </c>
    </row>
    <row r="185">
      <c r="A185" t="inlineStr">
        <is>
          <t>40C_10RH_chamber</t>
        </is>
      </c>
      <c r="B185" t="inlineStr">
        <is>
          <t>40 C / 10%RH (chamber arm)</t>
        </is>
      </c>
      <c r="C185" t="inlineStr">
        <is>
          <t>measured</t>
        </is>
      </c>
      <c r="D185" t="inlineStr">
        <is>
          <t>Malachite</t>
        </is>
      </c>
      <c r="E185" t="inlineStr">
        <is>
          <t>block</t>
        </is>
      </c>
      <c r="F185" t="inlineStr">
        <is>
          <t>HTG.1</t>
        </is>
      </c>
      <c r="G185" t="inlineStr">
        <is>
          <t>5.31</t>
        </is>
      </c>
      <c r="H185" t="n">
        <v>44</v>
      </c>
      <c r="I185" t="n">
        <v>59.77</v>
      </c>
      <c r="J185" t="n">
        <v>-31.94</v>
      </c>
      <c r="K185" t="n">
        <v>15.6</v>
      </c>
      <c r="L185">
        <f>ROUND(SQRT((I185-I170)^2+(J185-J170)^2+(K185-K170)^2),2)</f>
        <v/>
      </c>
      <c r="M185" t="inlineStr">
        <is>
          <t>measured</t>
        </is>
      </c>
    </row>
    <row r="186">
      <c r="A186" t="inlineStr">
        <is>
          <t>40C_10RH_chamber</t>
        </is>
      </c>
      <c r="B186" t="inlineStr">
        <is>
          <t>40 C / 10%RH (chamber arm)</t>
        </is>
      </c>
      <c r="C186" t="inlineStr">
        <is>
          <t>measured</t>
        </is>
      </c>
      <c r="D186" t="inlineStr">
        <is>
          <t>Malachite</t>
        </is>
      </c>
      <c r="E186" t="inlineStr">
        <is>
          <t>block</t>
        </is>
      </c>
      <c r="F186" t="inlineStr">
        <is>
          <t>HTG.1</t>
        </is>
      </c>
      <c r="G186" t="inlineStr">
        <is>
          <t>6.03</t>
        </is>
      </c>
      <c r="H186" t="n">
        <v>47</v>
      </c>
      <c r="I186" t="n">
        <v>59.89</v>
      </c>
      <c r="J186" t="n">
        <v>-32.89</v>
      </c>
      <c r="K186" t="n">
        <v>14.96</v>
      </c>
      <c r="L186">
        <f>ROUND(SQRT((I186-I170)^2+(J186-J170)^2+(K186-K170)^2),2)</f>
        <v/>
      </c>
      <c r="M186" t="inlineStr">
        <is>
          <t>measured</t>
        </is>
      </c>
    </row>
    <row r="187">
      <c r="A187" t="inlineStr">
        <is>
          <t>40C_10RH_chamber</t>
        </is>
      </c>
      <c r="B187" t="inlineStr">
        <is>
          <t>40 C / 10%RH (chamber arm)</t>
        </is>
      </c>
      <c r="C187" t="inlineStr">
        <is>
          <t>measured</t>
        </is>
      </c>
      <c r="D187" t="inlineStr">
        <is>
          <t>Malachite</t>
        </is>
      </c>
      <c r="E187" t="inlineStr">
        <is>
          <t>block</t>
        </is>
      </c>
      <c r="F187" t="inlineStr">
        <is>
          <t>HTG.1</t>
        </is>
      </c>
      <c r="G187" t="inlineStr">
        <is>
          <t>6.06</t>
        </is>
      </c>
      <c r="H187" t="n">
        <v>50</v>
      </c>
      <c r="I187" t="n">
        <v>58.97</v>
      </c>
      <c r="J187" t="n">
        <v>-31.04</v>
      </c>
      <c r="K187" t="n">
        <v>16.92</v>
      </c>
      <c r="L187">
        <f>ROUND(SQRT((I187-I170)^2+(J187-J170)^2+(K187-K170)^2),2)</f>
        <v/>
      </c>
      <c r="M187" t="inlineStr">
        <is>
          <t>measured</t>
        </is>
      </c>
    </row>
    <row r="188">
      <c r="A188" t="inlineStr">
        <is>
          <t>40C_10RH_chamber</t>
        </is>
      </c>
      <c r="B188" t="inlineStr">
        <is>
          <t>40 C / 10%RH (chamber arm)</t>
        </is>
      </c>
      <c r="C188" t="inlineStr">
        <is>
          <t>measured</t>
        </is>
      </c>
      <c r="D188" t="inlineStr">
        <is>
          <t>Malachite</t>
        </is>
      </c>
      <c r="E188" t="inlineStr">
        <is>
          <t>block</t>
        </is>
      </c>
      <c r="F188" t="inlineStr">
        <is>
          <t>HTG.1</t>
        </is>
      </c>
      <c r="G188" t="inlineStr">
        <is>
          <t>6.09</t>
        </is>
      </c>
      <c r="H188" t="n">
        <v>53</v>
      </c>
      <c r="I188" t="n">
        <v>60.36</v>
      </c>
      <c r="J188" t="n">
        <v>-31.45</v>
      </c>
      <c r="K188" t="n">
        <v>14.01</v>
      </c>
      <c r="L188">
        <f>ROUND(SQRT((I188-I170)^2+(J188-J170)^2+(K188-K170)^2),2)</f>
        <v/>
      </c>
      <c r="M188" t="inlineStr">
        <is>
          <t>measured</t>
        </is>
      </c>
    </row>
    <row r="189">
      <c r="A189" t="inlineStr">
        <is>
          <t>40C_10RH_chamber</t>
        </is>
      </c>
      <c r="B189" t="inlineStr">
        <is>
          <t>40 C / 10%RH (chamber arm)</t>
        </is>
      </c>
      <c r="C189" t="inlineStr">
        <is>
          <t>measured</t>
        </is>
      </c>
      <c r="D189" t="inlineStr">
        <is>
          <t>Malachite</t>
        </is>
      </c>
      <c r="E189" t="inlineStr">
        <is>
          <t>block</t>
        </is>
      </c>
      <c r="F189" t="inlineStr">
        <is>
          <t>HTG.1</t>
        </is>
      </c>
      <c r="G189" t="inlineStr">
        <is>
          <t>6.13</t>
        </is>
      </c>
      <c r="H189" t="n">
        <v>57</v>
      </c>
      <c r="I189" t="n">
        <v>58.87</v>
      </c>
      <c r="J189" t="n">
        <v>-32.18</v>
      </c>
      <c r="K189" t="n">
        <v>15.33</v>
      </c>
      <c r="L189">
        <f>ROUND(SQRT((I189-I170)^2+(J189-J170)^2+(K189-K170)^2),2)</f>
        <v/>
      </c>
      <c r="M189" t="inlineStr">
        <is>
          <t>measured</t>
        </is>
      </c>
    </row>
    <row r="190">
      <c r="A190" t="inlineStr">
        <is>
          <t>40C_10RH_chamber</t>
        </is>
      </c>
      <c r="B190" t="inlineStr">
        <is>
          <t>40 C / 10%RH (chamber arm)</t>
        </is>
      </c>
      <c r="C190" t="inlineStr">
        <is>
          <t>measured</t>
        </is>
      </c>
      <c r="D190" t="inlineStr">
        <is>
          <t>Malachite</t>
        </is>
      </c>
      <c r="E190" t="inlineStr">
        <is>
          <t>block</t>
        </is>
      </c>
      <c r="F190" t="inlineStr">
        <is>
          <t>HTG.1</t>
        </is>
      </c>
      <c r="G190" t="inlineStr">
        <is>
          <t>6.17</t>
        </is>
      </c>
      <c r="H190" t="n">
        <v>61</v>
      </c>
      <c r="I190" t="n">
        <v>60.65</v>
      </c>
      <c r="J190" t="n">
        <v>-31.84</v>
      </c>
      <c r="K190" t="n">
        <v>14.36</v>
      </c>
      <c r="L190">
        <f>ROUND(SQRT((I190-I170)^2+(J190-J170)^2+(K190-K170)^2),2)</f>
        <v/>
      </c>
      <c r="M190" t="inlineStr">
        <is>
          <t>measured</t>
        </is>
      </c>
    </row>
    <row r="191">
      <c r="A191" t="inlineStr">
        <is>
          <t>40C_10RH_chamber</t>
        </is>
      </c>
      <c r="B191" t="inlineStr">
        <is>
          <t>40 C / 10%RH (chamber arm)</t>
        </is>
      </c>
      <c r="C191" t="inlineStr">
        <is>
          <t>measured</t>
        </is>
      </c>
      <c r="D191" t="inlineStr">
        <is>
          <t>Malachite</t>
        </is>
      </c>
      <c r="E191" t="inlineStr">
        <is>
          <t>block</t>
        </is>
      </c>
      <c r="F191" t="inlineStr">
        <is>
          <t>HTG.2</t>
        </is>
      </c>
      <c r="G191" t="inlineStr">
        <is>
          <t>4.17</t>
        </is>
      </c>
      <c r="H191" t="n">
        <v>0</v>
      </c>
      <c r="I191" t="n">
        <v>62.84</v>
      </c>
      <c r="J191" t="n">
        <v>-30.47</v>
      </c>
      <c r="K191" t="n">
        <v>13.9</v>
      </c>
      <c r="L191" t="n">
        <v>0</v>
      </c>
      <c r="M191" t="inlineStr">
        <is>
          <t>measured</t>
        </is>
      </c>
    </row>
    <row r="192">
      <c r="A192" t="inlineStr">
        <is>
          <t>40C_10RH_chamber</t>
        </is>
      </c>
      <c r="B192" t="inlineStr">
        <is>
          <t>40 C / 10%RH (chamber arm)</t>
        </is>
      </c>
      <c r="C192" t="inlineStr">
        <is>
          <t>measured</t>
        </is>
      </c>
      <c r="D192" t="inlineStr">
        <is>
          <t>Malachite</t>
        </is>
      </c>
      <c r="E192" t="inlineStr">
        <is>
          <t>block</t>
        </is>
      </c>
      <c r="F192" t="inlineStr">
        <is>
          <t>HTG.2</t>
        </is>
      </c>
      <c r="G192" t="inlineStr">
        <is>
          <t>4.20</t>
        </is>
      </c>
      <c r="H192" t="n">
        <v>3</v>
      </c>
      <c r="I192" t="n">
        <v>62.95</v>
      </c>
      <c r="J192" t="n">
        <v>-29.09</v>
      </c>
      <c r="K192" t="n">
        <v>14.35</v>
      </c>
      <c r="L192">
        <f>ROUND(SQRT((I192-I191)^2+(J192-J191)^2+(K192-K191)^2),2)</f>
        <v/>
      </c>
      <c r="M192" t="inlineStr">
        <is>
          <t>measured</t>
        </is>
      </c>
    </row>
    <row r="193">
      <c r="A193" t="inlineStr">
        <is>
          <t>40C_10RH_chamber</t>
        </is>
      </c>
      <c r="B193" t="inlineStr">
        <is>
          <t>40 C / 10%RH (chamber arm)</t>
        </is>
      </c>
      <c r="C193" t="inlineStr">
        <is>
          <t>measured</t>
        </is>
      </c>
      <c r="D193" t="inlineStr">
        <is>
          <t>Malachite</t>
        </is>
      </c>
      <c r="E193" t="inlineStr">
        <is>
          <t>block</t>
        </is>
      </c>
      <c r="F193" t="inlineStr">
        <is>
          <t>HTG.2</t>
        </is>
      </c>
      <c r="G193" t="inlineStr">
        <is>
          <t>4.23</t>
        </is>
      </c>
      <c r="H193" t="n">
        <v>6</v>
      </c>
      <c r="I193" t="n">
        <v>61.23</v>
      </c>
      <c r="J193" t="n">
        <v>-29.61</v>
      </c>
      <c r="K193" t="n">
        <v>13.33</v>
      </c>
      <c r="L193">
        <f>ROUND(SQRT((I193-I191)^2+(J193-J191)^2+(K193-K191)^2),2)</f>
        <v/>
      </c>
      <c r="M193" t="inlineStr">
        <is>
          <t>measured</t>
        </is>
      </c>
    </row>
    <row r="194">
      <c r="A194" t="inlineStr">
        <is>
          <t>40C_10RH_chamber</t>
        </is>
      </c>
      <c r="B194" t="inlineStr">
        <is>
          <t>40 C / 10%RH (chamber arm)</t>
        </is>
      </c>
      <c r="C194" t="inlineStr">
        <is>
          <t>measured</t>
        </is>
      </c>
      <c r="D194" t="inlineStr">
        <is>
          <t>Malachite</t>
        </is>
      </c>
      <c r="E194" t="inlineStr">
        <is>
          <t>block</t>
        </is>
      </c>
      <c r="F194" t="inlineStr">
        <is>
          <t>HTG.2</t>
        </is>
      </c>
      <c r="G194" t="inlineStr">
        <is>
          <t>4.26</t>
        </is>
      </c>
      <c r="H194" t="n">
        <v>9</v>
      </c>
      <c r="I194" t="n">
        <v>63.03</v>
      </c>
      <c r="J194" t="n">
        <v>-30.29</v>
      </c>
      <c r="K194" t="n">
        <v>13.45</v>
      </c>
      <c r="L194">
        <f>ROUND(SQRT((I194-I191)^2+(J194-J191)^2+(K194-K191)^2),2)</f>
        <v/>
      </c>
      <c r="M194" t="inlineStr">
        <is>
          <t>measured</t>
        </is>
      </c>
    </row>
    <row r="195">
      <c r="A195" t="inlineStr">
        <is>
          <t>40C_10RH_chamber</t>
        </is>
      </c>
      <c r="B195" t="inlineStr">
        <is>
          <t>40 C / 10%RH (chamber arm)</t>
        </is>
      </c>
      <c r="C195" t="inlineStr">
        <is>
          <t>measured</t>
        </is>
      </c>
      <c r="D195" t="inlineStr">
        <is>
          <t>Malachite</t>
        </is>
      </c>
      <c r="E195" t="inlineStr">
        <is>
          <t>block</t>
        </is>
      </c>
      <c r="F195" t="inlineStr">
        <is>
          <t>HTG.2</t>
        </is>
      </c>
      <c r="G195" t="inlineStr">
        <is>
          <t>4.29</t>
        </is>
      </c>
      <c r="H195" t="n">
        <v>12</v>
      </c>
      <c r="I195" t="n">
        <v>64.2</v>
      </c>
      <c r="J195" t="n">
        <v>-30.98</v>
      </c>
      <c r="K195" t="n">
        <v>14.06</v>
      </c>
      <c r="L195">
        <f>ROUND(SQRT((I195-I191)^2+(J195-J191)^2+(K195-K191)^2),2)</f>
        <v/>
      </c>
      <c r="M195" t="inlineStr">
        <is>
          <t>measured</t>
        </is>
      </c>
    </row>
    <row r="196">
      <c r="A196" t="inlineStr">
        <is>
          <t>40C_10RH_chamber</t>
        </is>
      </c>
      <c r="B196" t="inlineStr">
        <is>
          <t>40 C / 10%RH (chamber arm)</t>
        </is>
      </c>
      <c r="C196" t="inlineStr">
        <is>
          <t>measured</t>
        </is>
      </c>
      <c r="D196" t="inlineStr">
        <is>
          <t>Malachite</t>
        </is>
      </c>
      <c r="E196" t="inlineStr">
        <is>
          <t>block</t>
        </is>
      </c>
      <c r="F196" t="inlineStr">
        <is>
          <t>HTG.2</t>
        </is>
      </c>
      <c r="G196" t="inlineStr">
        <is>
          <t>5.02</t>
        </is>
      </c>
      <c r="H196" t="n">
        <v>15</v>
      </c>
      <c r="I196" t="n">
        <v>62.56</v>
      </c>
      <c r="J196" t="n">
        <v>-30.65</v>
      </c>
      <c r="K196" t="n">
        <v>13.48</v>
      </c>
      <c r="L196">
        <f>ROUND(SQRT((I196-I191)^2+(J196-J191)^2+(K196-K191)^2),2)</f>
        <v/>
      </c>
      <c r="M196" t="inlineStr">
        <is>
          <t>measured</t>
        </is>
      </c>
    </row>
    <row r="197">
      <c r="A197" t="inlineStr">
        <is>
          <t>40C_10RH_chamber</t>
        </is>
      </c>
      <c r="B197" t="inlineStr">
        <is>
          <t>40 C / 10%RH (chamber arm)</t>
        </is>
      </c>
      <c r="C197" t="inlineStr">
        <is>
          <t>measured</t>
        </is>
      </c>
      <c r="D197" t="inlineStr">
        <is>
          <t>Malachite</t>
        </is>
      </c>
      <c r="E197" t="inlineStr">
        <is>
          <t>block</t>
        </is>
      </c>
      <c r="F197" t="inlineStr">
        <is>
          <t>HTG.2</t>
        </is>
      </c>
      <c r="G197" t="inlineStr">
        <is>
          <t>5.05</t>
        </is>
      </c>
      <c r="H197" t="n">
        <v>18</v>
      </c>
      <c r="I197" t="n">
        <v>63.07</v>
      </c>
      <c r="J197" t="n">
        <v>-30.19</v>
      </c>
      <c r="K197" t="n">
        <v>14.44</v>
      </c>
      <c r="L197">
        <f>ROUND(SQRT((I197-I191)^2+(J197-J191)^2+(K197-K191)^2),2)</f>
        <v/>
      </c>
      <c r="M197" t="inlineStr">
        <is>
          <t>measured</t>
        </is>
      </c>
    </row>
    <row r="198">
      <c r="A198" t="inlineStr">
        <is>
          <t>40C_10RH_chamber</t>
        </is>
      </c>
      <c r="B198" t="inlineStr">
        <is>
          <t>40 C / 10%RH (chamber arm)</t>
        </is>
      </c>
      <c r="C198" t="inlineStr">
        <is>
          <t>measured</t>
        </is>
      </c>
      <c r="D198" t="inlineStr">
        <is>
          <t>Malachite</t>
        </is>
      </c>
      <c r="E198" t="inlineStr">
        <is>
          <t>block</t>
        </is>
      </c>
      <c r="F198" t="inlineStr">
        <is>
          <t>HTG.2</t>
        </is>
      </c>
      <c r="G198" t="inlineStr">
        <is>
          <t>5.08</t>
        </is>
      </c>
      <c r="H198" t="n">
        <v>21</v>
      </c>
      <c r="I198" t="n">
        <v>63.61</v>
      </c>
      <c r="J198" t="n">
        <v>-30.18</v>
      </c>
      <c r="K198" t="n">
        <v>13.25</v>
      </c>
      <c r="L198">
        <f>ROUND(SQRT((I198-I191)^2+(J198-J191)^2+(K198-K191)^2),2)</f>
        <v/>
      </c>
      <c r="M198" t="inlineStr">
        <is>
          <t>measured</t>
        </is>
      </c>
    </row>
    <row r="199">
      <c r="A199" t="inlineStr">
        <is>
          <t>40C_10RH_chamber</t>
        </is>
      </c>
      <c r="B199" t="inlineStr">
        <is>
          <t>40 C / 10%RH (chamber arm)</t>
        </is>
      </c>
      <c r="C199" t="inlineStr">
        <is>
          <t>measured</t>
        </is>
      </c>
      <c r="D199" t="inlineStr">
        <is>
          <t>Malachite</t>
        </is>
      </c>
      <c r="E199" t="inlineStr">
        <is>
          <t>block</t>
        </is>
      </c>
      <c r="F199" t="inlineStr">
        <is>
          <t>HTG.2</t>
        </is>
      </c>
      <c r="G199" t="inlineStr">
        <is>
          <t>5.11</t>
        </is>
      </c>
      <c r="H199" t="n">
        <v>24</v>
      </c>
      <c r="I199" t="n">
        <v>62.79</v>
      </c>
      <c r="J199" t="n">
        <v>-30.23</v>
      </c>
      <c r="K199" t="n">
        <v>13.35</v>
      </c>
      <c r="L199">
        <f>ROUND(SQRT((I199-I191)^2+(J199-J191)^2+(K199-K191)^2),2)</f>
        <v/>
      </c>
      <c r="M199" t="inlineStr">
        <is>
          <t>measured</t>
        </is>
      </c>
    </row>
    <row r="200">
      <c r="A200" t="inlineStr">
        <is>
          <t>40C_10RH_chamber</t>
        </is>
      </c>
      <c r="B200" t="inlineStr">
        <is>
          <t>40 C / 10%RH (chamber arm)</t>
        </is>
      </c>
      <c r="C200" t="inlineStr">
        <is>
          <t>measured</t>
        </is>
      </c>
      <c r="D200" t="inlineStr">
        <is>
          <t>Malachite</t>
        </is>
      </c>
      <c r="E200" t="inlineStr">
        <is>
          <t>block</t>
        </is>
      </c>
      <c r="F200" t="inlineStr">
        <is>
          <t>HTG.2</t>
        </is>
      </c>
      <c r="G200" t="inlineStr">
        <is>
          <t>5.12</t>
        </is>
      </c>
      <c r="H200" t="n">
        <v>25</v>
      </c>
      <c r="I200" t="n">
        <v>62.5</v>
      </c>
      <c r="J200" t="n">
        <v>-30.18</v>
      </c>
      <c r="K200" t="n">
        <v>13.32</v>
      </c>
      <c r="L200">
        <f>ROUND(SQRT((I200-I191)^2+(J200-J191)^2+(K200-K191)^2),2)</f>
        <v/>
      </c>
      <c r="M200" t="inlineStr">
        <is>
          <t>measured</t>
        </is>
      </c>
    </row>
    <row r="201">
      <c r="A201" t="inlineStr">
        <is>
          <t>40C_10RH_chamber</t>
        </is>
      </c>
      <c r="B201" t="inlineStr">
        <is>
          <t>40 C / 10%RH (chamber arm)</t>
        </is>
      </c>
      <c r="C201" t="inlineStr">
        <is>
          <t>measured</t>
        </is>
      </c>
      <c r="D201" t="inlineStr">
        <is>
          <t>Malachite</t>
        </is>
      </c>
      <c r="E201" t="inlineStr">
        <is>
          <t>block</t>
        </is>
      </c>
      <c r="F201" t="inlineStr">
        <is>
          <t>HTG.2</t>
        </is>
      </c>
      <c r="G201" t="inlineStr">
        <is>
          <t>5.14</t>
        </is>
      </c>
      <c r="H201" t="n">
        <v>27</v>
      </c>
      <c r="I201" t="n">
        <v>61.32</v>
      </c>
      <c r="J201" t="n">
        <v>-30.28</v>
      </c>
      <c r="K201" t="n">
        <v>13.37</v>
      </c>
      <c r="L201">
        <f>ROUND(SQRT((I201-I191)^2+(J201-J191)^2+(K201-K191)^2),2)</f>
        <v/>
      </c>
      <c r="M201" t="inlineStr">
        <is>
          <t>measured</t>
        </is>
      </c>
    </row>
    <row r="202">
      <c r="A202" t="inlineStr">
        <is>
          <t>40C_10RH_chamber</t>
        </is>
      </c>
      <c r="B202" t="inlineStr">
        <is>
          <t>40 C / 10%RH (chamber arm)</t>
        </is>
      </c>
      <c r="C202" t="inlineStr">
        <is>
          <t>measured</t>
        </is>
      </c>
      <c r="D202" t="inlineStr">
        <is>
          <t>Malachite</t>
        </is>
      </c>
      <c r="E202" t="inlineStr">
        <is>
          <t>block</t>
        </is>
      </c>
      <c r="F202" t="inlineStr">
        <is>
          <t>HTG.2</t>
        </is>
      </c>
      <c r="G202" t="inlineStr">
        <is>
          <t>5.18</t>
        </is>
      </c>
      <c r="H202" t="n">
        <v>31</v>
      </c>
      <c r="I202" t="n">
        <v>63.37</v>
      </c>
      <c r="J202" t="n">
        <v>-31.09</v>
      </c>
      <c r="K202" t="n">
        <v>14.51</v>
      </c>
      <c r="L202">
        <f>ROUND(SQRT((I202-I191)^2+(J202-J191)^2+(K202-K191)^2),2)</f>
        <v/>
      </c>
      <c r="M202" t="inlineStr">
        <is>
          <t>measured</t>
        </is>
      </c>
    </row>
    <row r="203">
      <c r="A203" t="inlineStr">
        <is>
          <t>40C_10RH_chamber</t>
        </is>
      </c>
      <c r="B203" t="inlineStr">
        <is>
          <t>40 C / 10%RH (chamber arm)</t>
        </is>
      </c>
      <c r="C203" t="inlineStr">
        <is>
          <t>measured</t>
        </is>
      </c>
      <c r="D203" t="inlineStr">
        <is>
          <t>Malachite</t>
        </is>
      </c>
      <c r="E203" t="inlineStr">
        <is>
          <t>block</t>
        </is>
      </c>
      <c r="F203" t="inlineStr">
        <is>
          <t>HTG.2</t>
        </is>
      </c>
      <c r="G203" t="inlineStr">
        <is>
          <t>5.21</t>
        </is>
      </c>
      <c r="H203" t="n">
        <v>34</v>
      </c>
      <c r="I203" t="n">
        <v>62.85</v>
      </c>
      <c r="J203" t="n">
        <v>-30.4</v>
      </c>
      <c r="K203" t="n">
        <v>14.17</v>
      </c>
      <c r="L203">
        <f>ROUND(SQRT((I203-I191)^2+(J203-J191)^2+(K203-K191)^2),2)</f>
        <v/>
      </c>
      <c r="M203" t="inlineStr">
        <is>
          <t>measured</t>
        </is>
      </c>
    </row>
    <row r="204">
      <c r="A204" t="inlineStr">
        <is>
          <t>40C_10RH_chamber</t>
        </is>
      </c>
      <c r="B204" t="inlineStr">
        <is>
          <t>40 C / 10%RH (chamber arm)</t>
        </is>
      </c>
      <c r="C204" t="inlineStr">
        <is>
          <t>measured</t>
        </is>
      </c>
      <c r="D204" t="inlineStr">
        <is>
          <t>Malachite</t>
        </is>
      </c>
      <c r="E204" t="inlineStr">
        <is>
          <t>block</t>
        </is>
      </c>
      <c r="F204" t="inlineStr">
        <is>
          <t>HTG.2</t>
        </is>
      </c>
      <c r="G204" t="inlineStr">
        <is>
          <t>5.24</t>
        </is>
      </c>
      <c r="H204" t="n">
        <v>37</v>
      </c>
      <c r="I204" t="n">
        <v>62.23</v>
      </c>
      <c r="J204" t="n">
        <v>-29.36</v>
      </c>
      <c r="K204" t="n">
        <v>14.91</v>
      </c>
      <c r="L204">
        <f>ROUND(SQRT((I204-I191)^2+(J204-J191)^2+(K204-K191)^2),2)</f>
        <v/>
      </c>
      <c r="M204" t="inlineStr">
        <is>
          <t>measured</t>
        </is>
      </c>
    </row>
    <row r="205">
      <c r="A205" t="inlineStr">
        <is>
          <t>40C_10RH_chamber</t>
        </is>
      </c>
      <c r="B205" t="inlineStr">
        <is>
          <t>40 C / 10%RH (chamber arm)</t>
        </is>
      </c>
      <c r="C205" t="inlineStr">
        <is>
          <t>measured</t>
        </is>
      </c>
      <c r="D205" t="inlineStr">
        <is>
          <t>Malachite</t>
        </is>
      </c>
      <c r="E205" t="inlineStr">
        <is>
          <t>block</t>
        </is>
      </c>
      <c r="F205" t="inlineStr">
        <is>
          <t>HTG.2</t>
        </is>
      </c>
      <c r="G205" t="inlineStr">
        <is>
          <t>5.28</t>
        </is>
      </c>
      <c r="H205" t="n">
        <v>41</v>
      </c>
      <c r="I205" t="n">
        <v>63.04</v>
      </c>
      <c r="J205" t="n">
        <v>-30.91</v>
      </c>
      <c r="K205" t="n">
        <v>15.28</v>
      </c>
      <c r="L205">
        <f>ROUND(SQRT((I205-I191)^2+(J205-J191)^2+(K205-K191)^2),2)</f>
        <v/>
      </c>
      <c r="M205" t="inlineStr">
        <is>
          <t>measured</t>
        </is>
      </c>
    </row>
    <row r="206">
      <c r="A206" t="inlineStr">
        <is>
          <t>40C_10RH_chamber</t>
        </is>
      </c>
      <c r="B206" t="inlineStr">
        <is>
          <t>40 C / 10%RH (chamber arm)</t>
        </is>
      </c>
      <c r="C206" t="inlineStr">
        <is>
          <t>measured</t>
        </is>
      </c>
      <c r="D206" t="inlineStr">
        <is>
          <t>Malachite</t>
        </is>
      </c>
      <c r="E206" t="inlineStr">
        <is>
          <t>block</t>
        </is>
      </c>
      <c r="F206" t="inlineStr">
        <is>
          <t>HTG.2</t>
        </is>
      </c>
      <c r="G206" t="inlineStr">
        <is>
          <t>5.31</t>
        </is>
      </c>
      <c r="H206" t="n">
        <v>44</v>
      </c>
      <c r="I206" t="n">
        <v>62.55</v>
      </c>
      <c r="J206" t="n">
        <v>-30.05</v>
      </c>
      <c r="K206" t="n">
        <v>12.96</v>
      </c>
      <c r="L206">
        <f>ROUND(SQRT((I206-I191)^2+(J206-J191)^2+(K206-K191)^2),2)</f>
        <v/>
      </c>
      <c r="M206" t="inlineStr">
        <is>
          <t>measured</t>
        </is>
      </c>
    </row>
    <row r="207">
      <c r="A207" t="inlineStr">
        <is>
          <t>40C_10RH_chamber</t>
        </is>
      </c>
      <c r="B207" t="inlineStr">
        <is>
          <t>40 C / 10%RH (chamber arm)</t>
        </is>
      </c>
      <c r="C207" t="inlineStr">
        <is>
          <t>measured</t>
        </is>
      </c>
      <c r="D207" t="inlineStr">
        <is>
          <t>Malachite</t>
        </is>
      </c>
      <c r="E207" t="inlineStr">
        <is>
          <t>block</t>
        </is>
      </c>
      <c r="F207" t="inlineStr">
        <is>
          <t>HTG.2</t>
        </is>
      </c>
      <c r="G207" t="inlineStr">
        <is>
          <t>6.03</t>
        </is>
      </c>
      <c r="H207" t="n">
        <v>47</v>
      </c>
      <c r="I207" t="n">
        <v>62.6</v>
      </c>
      <c r="J207" t="n">
        <v>-30.45</v>
      </c>
      <c r="K207" t="n">
        <v>13.72</v>
      </c>
      <c r="L207">
        <f>ROUND(SQRT((I207-I191)^2+(J207-J191)^2+(K207-K191)^2),2)</f>
        <v/>
      </c>
      <c r="M207" t="inlineStr">
        <is>
          <t>measured</t>
        </is>
      </c>
    </row>
    <row r="208">
      <c r="A208" t="inlineStr">
        <is>
          <t>40C_10RH_chamber</t>
        </is>
      </c>
      <c r="B208" t="inlineStr">
        <is>
          <t>40 C / 10%RH (chamber arm)</t>
        </is>
      </c>
      <c r="C208" t="inlineStr">
        <is>
          <t>measured</t>
        </is>
      </c>
      <c r="D208" t="inlineStr">
        <is>
          <t>Malachite</t>
        </is>
      </c>
      <c r="E208" t="inlineStr">
        <is>
          <t>block</t>
        </is>
      </c>
      <c r="F208" t="inlineStr">
        <is>
          <t>HTG.2</t>
        </is>
      </c>
      <c r="G208" t="inlineStr">
        <is>
          <t>6.06</t>
        </is>
      </c>
      <c r="H208" t="n">
        <v>50</v>
      </c>
      <c r="I208" t="n">
        <v>63.4</v>
      </c>
      <c r="J208" t="n">
        <v>-29.76</v>
      </c>
      <c r="K208" t="n">
        <v>12.83</v>
      </c>
      <c r="L208">
        <f>ROUND(SQRT((I208-I191)^2+(J208-J191)^2+(K208-K191)^2),2)</f>
        <v/>
      </c>
      <c r="M208" t="inlineStr">
        <is>
          <t>measured</t>
        </is>
      </c>
    </row>
    <row r="209">
      <c r="A209" t="inlineStr">
        <is>
          <t>40C_10RH_chamber</t>
        </is>
      </c>
      <c r="B209" t="inlineStr">
        <is>
          <t>40 C / 10%RH (chamber arm)</t>
        </is>
      </c>
      <c r="C209" t="inlineStr">
        <is>
          <t>measured</t>
        </is>
      </c>
      <c r="D209" t="inlineStr">
        <is>
          <t>Malachite</t>
        </is>
      </c>
      <c r="E209" t="inlineStr">
        <is>
          <t>block</t>
        </is>
      </c>
      <c r="F209" t="inlineStr">
        <is>
          <t>HTG.2</t>
        </is>
      </c>
      <c r="G209" t="inlineStr">
        <is>
          <t>6.09</t>
        </is>
      </c>
      <c r="H209" t="n">
        <v>53</v>
      </c>
      <c r="I209" t="n">
        <v>62.05</v>
      </c>
      <c r="J209" t="n">
        <v>-30.08</v>
      </c>
      <c r="K209" t="n">
        <v>13.09</v>
      </c>
      <c r="L209">
        <f>ROUND(SQRT((I209-I191)^2+(J209-J191)^2+(K209-K191)^2),2)</f>
        <v/>
      </c>
      <c r="M209" t="inlineStr">
        <is>
          <t>measured</t>
        </is>
      </c>
    </row>
    <row r="210">
      <c r="A210" t="inlineStr">
        <is>
          <t>40C_10RH_chamber</t>
        </is>
      </c>
      <c r="B210" t="inlineStr">
        <is>
          <t>40 C / 10%RH (chamber arm)</t>
        </is>
      </c>
      <c r="C210" t="inlineStr">
        <is>
          <t>measured</t>
        </is>
      </c>
      <c r="D210" t="inlineStr">
        <is>
          <t>Malachite</t>
        </is>
      </c>
      <c r="E210" t="inlineStr">
        <is>
          <t>block</t>
        </is>
      </c>
      <c r="F210" t="inlineStr">
        <is>
          <t>HTG.2</t>
        </is>
      </c>
      <c r="G210" t="inlineStr">
        <is>
          <t>6.13</t>
        </is>
      </c>
      <c r="H210" t="n">
        <v>57</v>
      </c>
      <c r="I210" t="n">
        <v>63.73</v>
      </c>
      <c r="J210" t="n">
        <v>-28.72</v>
      </c>
      <c r="K210" t="n">
        <v>13.18</v>
      </c>
      <c r="L210">
        <f>ROUND(SQRT((I210-I191)^2+(J210-J191)^2+(K210-K191)^2),2)</f>
        <v/>
      </c>
      <c r="M210" t="inlineStr">
        <is>
          <t>measured</t>
        </is>
      </c>
    </row>
    <row r="211">
      <c r="A211" t="inlineStr">
        <is>
          <t>40C_10RH_chamber</t>
        </is>
      </c>
      <c r="B211" t="inlineStr">
        <is>
          <t>40 C / 10%RH (chamber arm)</t>
        </is>
      </c>
      <c r="C211" t="inlineStr">
        <is>
          <t>measured</t>
        </is>
      </c>
      <c r="D211" t="inlineStr">
        <is>
          <t>Malachite</t>
        </is>
      </c>
      <c r="E211" t="inlineStr">
        <is>
          <t>block</t>
        </is>
      </c>
      <c r="F211" t="inlineStr">
        <is>
          <t>HTG.2</t>
        </is>
      </c>
      <c r="G211" t="inlineStr">
        <is>
          <t>6.17</t>
        </is>
      </c>
      <c r="H211" t="n">
        <v>61</v>
      </c>
      <c r="I211" t="n">
        <v>62.03</v>
      </c>
      <c r="J211" t="n">
        <v>-29.35</v>
      </c>
      <c r="K211" t="n">
        <v>12.86</v>
      </c>
      <c r="L211">
        <f>ROUND(SQRT((I211-I191)^2+(J211-J191)^2+(K211-K191)^2),2)</f>
        <v/>
      </c>
      <c r="M211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1" customWidth="1" min="4" max="4"/>
    <col width="10" customWidth="1" min="5" max="5"/>
    <col width="9" customWidth="1" min="6" max="6"/>
    <col width="7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</cols>
  <sheetData>
    <row r="1">
      <c r="A1" s="2" t="inlineStr">
        <is>
          <t>arm_code</t>
        </is>
      </c>
      <c r="B1" s="2" t="inlineStr">
        <is>
          <t>condition</t>
        </is>
      </c>
      <c r="C1" s="2" t="inlineStr">
        <is>
          <t>status</t>
        </is>
      </c>
      <c r="D1" s="2" t="inlineStr">
        <is>
          <t>pigment</t>
        </is>
      </c>
      <c r="E1" s="2" t="inlineStr">
        <is>
          <t>geometry</t>
        </is>
      </c>
      <c r="F1" s="2" t="inlineStr">
        <is>
          <t>spot</t>
        </is>
      </c>
      <c r="G1" s="2" t="inlineStr">
        <is>
          <t>date</t>
        </is>
      </c>
      <c r="H1" s="2" t="inlineStr">
        <is>
          <t>day</t>
        </is>
      </c>
      <c r="I1" s="2" t="inlineStr">
        <is>
          <t>L*</t>
        </is>
      </c>
      <c r="J1" s="2" t="inlineStr">
        <is>
          <t>a*</t>
        </is>
      </c>
      <c r="K1" s="2" t="inlineStr">
        <is>
          <t>b*</t>
        </is>
      </c>
      <c r="L1" s="2" t="inlineStr">
        <is>
          <t>deltaE</t>
        </is>
      </c>
      <c r="M1" s="2" t="inlineStr">
        <is>
          <t>point_type</t>
        </is>
      </c>
    </row>
    <row r="2">
      <c r="A2" t="inlineStr">
        <is>
          <t>23C_40RH_room</t>
        </is>
      </c>
      <c r="B2" t="inlineStr">
        <is>
          <t>23 C / 40%RH (room-temp arm)</t>
        </is>
      </c>
      <c r="C2" t="inlineStr">
        <is>
          <t>measured</t>
        </is>
      </c>
      <c r="D2" t="inlineStr">
        <is>
          <t>Azurite</t>
        </is>
      </c>
      <c r="E2" t="inlineStr">
        <is>
          <t>pedestal</t>
        </is>
      </c>
      <c r="F2" t="inlineStr">
        <is>
          <t>NB.1</t>
        </is>
      </c>
      <c r="G2" t="inlineStr">
        <is>
          <t>4.17</t>
        </is>
      </c>
      <c r="H2" t="n">
        <v>0</v>
      </c>
      <c r="I2" t="n">
        <v>40.55</v>
      </c>
      <c r="J2" t="n">
        <v>-5.53</v>
      </c>
      <c r="K2" t="n">
        <v>-29.13</v>
      </c>
      <c r="L2" t="n">
        <v>0</v>
      </c>
      <c r="M2" t="inlineStr">
        <is>
          <t>measured</t>
        </is>
      </c>
    </row>
    <row r="3">
      <c r="A3" t="inlineStr">
        <is>
          <t>23C_40RH_room</t>
        </is>
      </c>
      <c r="B3" t="inlineStr">
        <is>
          <t>23 C / 40%RH (room-temp arm)</t>
        </is>
      </c>
      <c r="C3" t="inlineStr">
        <is>
          <t>measured</t>
        </is>
      </c>
      <c r="D3" t="inlineStr">
        <is>
          <t>Azurite</t>
        </is>
      </c>
      <c r="E3" t="inlineStr">
        <is>
          <t>pedestal</t>
        </is>
      </c>
      <c r="F3" t="inlineStr">
        <is>
          <t>NB.1</t>
        </is>
      </c>
      <c r="G3" t="inlineStr">
        <is>
          <t>4.20</t>
        </is>
      </c>
      <c r="H3" t="n">
        <v>3</v>
      </c>
      <c r="I3" t="n">
        <v>40.27</v>
      </c>
      <c r="J3" t="n">
        <v>-5.66</v>
      </c>
      <c r="K3" t="n">
        <v>-29.69</v>
      </c>
      <c r="L3">
        <f>ROUND(SQRT((I3-I2)^2+(J3-J2)^2+(K3-K2)^2),2)</f>
        <v/>
      </c>
      <c r="M3" t="inlineStr">
        <is>
          <t>measured</t>
        </is>
      </c>
    </row>
    <row r="4">
      <c r="A4" t="inlineStr">
        <is>
          <t>23C_40RH_room</t>
        </is>
      </c>
      <c r="B4" t="inlineStr">
        <is>
          <t>23 C / 40%RH (room-temp arm)</t>
        </is>
      </c>
      <c r="C4" t="inlineStr">
        <is>
          <t>measured</t>
        </is>
      </c>
      <c r="D4" t="inlineStr">
        <is>
          <t>Azurite</t>
        </is>
      </c>
      <c r="E4" t="inlineStr">
        <is>
          <t>pedestal</t>
        </is>
      </c>
      <c r="F4" t="inlineStr">
        <is>
          <t>NB.1</t>
        </is>
      </c>
      <c r="G4" t="inlineStr">
        <is>
          <t>4.23</t>
        </is>
      </c>
      <c r="H4" t="n">
        <v>6</v>
      </c>
      <c r="I4" t="n">
        <v>40.71</v>
      </c>
      <c r="J4" t="n">
        <v>-5.4</v>
      </c>
      <c r="K4" t="n">
        <v>-29.48</v>
      </c>
      <c r="L4">
        <f>ROUND(SQRT((I4-I2)^2+(J4-J2)^2+(K4-K2)^2),2)</f>
        <v/>
      </c>
      <c r="M4" t="inlineStr">
        <is>
          <t>measured</t>
        </is>
      </c>
    </row>
    <row r="5">
      <c r="A5" t="inlineStr">
        <is>
          <t>23C_40RH_room</t>
        </is>
      </c>
      <c r="B5" t="inlineStr">
        <is>
          <t>23 C / 40%RH (room-temp arm)</t>
        </is>
      </c>
      <c r="C5" t="inlineStr">
        <is>
          <t>measured</t>
        </is>
      </c>
      <c r="D5" t="inlineStr">
        <is>
          <t>Azurite</t>
        </is>
      </c>
      <c r="E5" t="inlineStr">
        <is>
          <t>pedestal</t>
        </is>
      </c>
      <c r="F5" t="inlineStr">
        <is>
          <t>NB.1</t>
        </is>
      </c>
      <c r="G5" t="inlineStr">
        <is>
          <t>4.26</t>
        </is>
      </c>
      <c r="H5" t="n">
        <v>9</v>
      </c>
      <c r="I5" t="n">
        <v>41.6</v>
      </c>
      <c r="J5" t="n">
        <v>-4.97</v>
      </c>
      <c r="K5" t="n">
        <v>-30.07</v>
      </c>
      <c r="L5">
        <f>ROUND(SQRT((I5-I2)^2+(J5-J2)^2+(K5-K2)^2),2)</f>
        <v/>
      </c>
      <c r="M5" t="inlineStr">
        <is>
          <t>measured</t>
        </is>
      </c>
    </row>
    <row r="6">
      <c r="A6" t="inlineStr">
        <is>
          <t>23C_40RH_room</t>
        </is>
      </c>
      <c r="B6" t="inlineStr">
        <is>
          <t>23 C / 40%RH (room-temp arm)</t>
        </is>
      </c>
      <c r="C6" t="inlineStr">
        <is>
          <t>measured</t>
        </is>
      </c>
      <c r="D6" t="inlineStr">
        <is>
          <t>Azurite</t>
        </is>
      </c>
      <c r="E6" t="inlineStr">
        <is>
          <t>pedestal</t>
        </is>
      </c>
      <c r="F6" t="inlineStr">
        <is>
          <t>NB.1</t>
        </is>
      </c>
      <c r="G6" t="inlineStr">
        <is>
          <t>4.29</t>
        </is>
      </c>
      <c r="H6" t="n">
        <v>12</v>
      </c>
      <c r="I6" t="n">
        <v>39.6</v>
      </c>
      <c r="J6" t="n">
        <v>-5.83</v>
      </c>
      <c r="K6" t="n">
        <v>-29.63</v>
      </c>
      <c r="L6">
        <f>ROUND(SQRT((I6-I2)^2+(J6-J2)^2+(K6-K2)^2),2)</f>
        <v/>
      </c>
      <c r="M6" t="inlineStr">
        <is>
          <t>measured</t>
        </is>
      </c>
    </row>
    <row r="7">
      <c r="A7" t="inlineStr">
        <is>
          <t>23C_40RH_room</t>
        </is>
      </c>
      <c r="B7" t="inlineStr">
        <is>
          <t>23 C / 40%RH (room-temp arm)</t>
        </is>
      </c>
      <c r="C7" t="inlineStr">
        <is>
          <t>measured</t>
        </is>
      </c>
      <c r="D7" t="inlineStr">
        <is>
          <t>Azurite</t>
        </is>
      </c>
      <c r="E7" t="inlineStr">
        <is>
          <t>pedestal</t>
        </is>
      </c>
      <c r="F7" t="inlineStr">
        <is>
          <t>NB.1</t>
        </is>
      </c>
      <c r="G7" t="inlineStr">
        <is>
          <t>5.02</t>
        </is>
      </c>
      <c r="H7" t="n">
        <v>15</v>
      </c>
      <c r="I7" t="n">
        <v>39.89</v>
      </c>
      <c r="J7" t="n">
        <v>-5.2</v>
      </c>
      <c r="K7" t="n">
        <v>-29.23</v>
      </c>
      <c r="L7">
        <f>ROUND(SQRT((I7-I2)^2+(J7-J2)^2+(K7-K2)^2),2)</f>
        <v/>
      </c>
      <c r="M7" t="inlineStr">
        <is>
          <t>measured</t>
        </is>
      </c>
    </row>
    <row r="8">
      <c r="A8" t="inlineStr">
        <is>
          <t>23C_40RH_room</t>
        </is>
      </c>
      <c r="B8" t="inlineStr">
        <is>
          <t>23 C / 40%RH (room-temp arm)</t>
        </is>
      </c>
      <c r="C8" t="inlineStr">
        <is>
          <t>measured</t>
        </is>
      </c>
      <c r="D8" t="inlineStr">
        <is>
          <t>Azurite</t>
        </is>
      </c>
      <c r="E8" t="inlineStr">
        <is>
          <t>pedestal</t>
        </is>
      </c>
      <c r="F8" t="inlineStr">
        <is>
          <t>NB.1</t>
        </is>
      </c>
      <c r="G8" t="inlineStr">
        <is>
          <t>5.05</t>
        </is>
      </c>
      <c r="H8" t="n">
        <v>18</v>
      </c>
      <c r="I8" t="n">
        <v>39.69</v>
      </c>
      <c r="J8" t="n">
        <v>-5.75</v>
      </c>
      <c r="K8" t="n">
        <v>-28.38</v>
      </c>
      <c r="L8">
        <f>ROUND(SQRT((I8-I2)^2+(J8-J2)^2+(K8-K2)^2),2)</f>
        <v/>
      </c>
      <c r="M8" t="inlineStr">
        <is>
          <t>measured</t>
        </is>
      </c>
    </row>
    <row r="9">
      <c r="A9" t="inlineStr">
        <is>
          <t>23C_40RH_room</t>
        </is>
      </c>
      <c r="B9" t="inlineStr">
        <is>
          <t>23 C / 40%RH (room-temp arm)</t>
        </is>
      </c>
      <c r="C9" t="inlineStr">
        <is>
          <t>measured</t>
        </is>
      </c>
      <c r="D9" t="inlineStr">
        <is>
          <t>Azurite</t>
        </is>
      </c>
      <c r="E9" t="inlineStr">
        <is>
          <t>pedestal</t>
        </is>
      </c>
      <c r="F9" t="inlineStr">
        <is>
          <t>NB.1</t>
        </is>
      </c>
      <c r="G9" t="inlineStr">
        <is>
          <t>5.08</t>
        </is>
      </c>
      <c r="H9" t="n">
        <v>21</v>
      </c>
      <c r="I9" t="n">
        <v>40.3</v>
      </c>
      <c r="J9" t="n">
        <v>-5.65</v>
      </c>
      <c r="K9" t="n">
        <v>-27.71</v>
      </c>
      <c r="L9">
        <f>ROUND(SQRT((I9-I2)^2+(J9-J2)^2+(K9-K2)^2),2)</f>
        <v/>
      </c>
      <c r="M9" t="inlineStr">
        <is>
          <t>measured</t>
        </is>
      </c>
    </row>
    <row r="10">
      <c r="A10" t="inlineStr">
        <is>
          <t>23C_40RH_room</t>
        </is>
      </c>
      <c r="B10" t="inlineStr">
        <is>
          <t>23 C / 40%RH (room-temp arm)</t>
        </is>
      </c>
      <c r="C10" t="inlineStr">
        <is>
          <t>measured</t>
        </is>
      </c>
      <c r="D10" t="inlineStr">
        <is>
          <t>Azurite</t>
        </is>
      </c>
      <c r="E10" t="inlineStr">
        <is>
          <t>pedestal</t>
        </is>
      </c>
      <c r="F10" t="inlineStr">
        <is>
          <t>NB.1</t>
        </is>
      </c>
      <c r="G10" t="inlineStr">
        <is>
          <t>5.11</t>
        </is>
      </c>
      <c r="H10" t="n">
        <v>24</v>
      </c>
      <c r="I10" t="n">
        <v>41.2</v>
      </c>
      <c r="J10" t="n">
        <v>-5</v>
      </c>
      <c r="K10" t="n">
        <v>-29.85</v>
      </c>
      <c r="L10">
        <f>ROUND(SQRT((I10-I2)^2+(J10-J2)^2+(K10-K2)^2),2)</f>
        <v/>
      </c>
      <c r="M10" t="inlineStr">
        <is>
          <t>measured</t>
        </is>
      </c>
    </row>
    <row r="11">
      <c r="A11" t="inlineStr">
        <is>
          <t>23C_40RH_room</t>
        </is>
      </c>
      <c r="B11" t="inlineStr">
        <is>
          <t>23 C / 40%RH (room-temp arm)</t>
        </is>
      </c>
      <c r="C11" t="inlineStr">
        <is>
          <t>measured</t>
        </is>
      </c>
      <c r="D11" t="inlineStr">
        <is>
          <t>Azurite</t>
        </is>
      </c>
      <c r="E11" t="inlineStr">
        <is>
          <t>pedestal</t>
        </is>
      </c>
      <c r="F11" t="inlineStr">
        <is>
          <t>NB.1</t>
        </is>
      </c>
      <c r="G11" t="inlineStr">
        <is>
          <t>5.12</t>
        </is>
      </c>
      <c r="H11" t="n">
        <v>25</v>
      </c>
      <c r="I11" t="n">
        <v>41.28</v>
      </c>
      <c r="J11" t="n">
        <v>-6.98</v>
      </c>
      <c r="K11" t="n">
        <v>-28.6</v>
      </c>
      <c r="L11">
        <f>ROUND(SQRT((I11-I2)^2+(J11-J2)^2+(K11-K2)^2),2)</f>
        <v/>
      </c>
      <c r="M11" t="inlineStr">
        <is>
          <t>measured</t>
        </is>
      </c>
    </row>
    <row r="12">
      <c r="A12" t="inlineStr">
        <is>
          <t>23C_40RH_room</t>
        </is>
      </c>
      <c r="B12" t="inlineStr">
        <is>
          <t>23 C / 40%RH (room-temp arm)</t>
        </is>
      </c>
      <c r="C12" t="inlineStr">
        <is>
          <t>measured</t>
        </is>
      </c>
      <c r="D12" t="inlineStr">
        <is>
          <t>Azurite</t>
        </is>
      </c>
      <c r="E12" t="inlineStr">
        <is>
          <t>pedestal</t>
        </is>
      </c>
      <c r="F12" t="inlineStr">
        <is>
          <t>NB.1</t>
        </is>
      </c>
      <c r="G12" t="inlineStr">
        <is>
          <t>5.14</t>
        </is>
      </c>
      <c r="H12" t="n">
        <v>27</v>
      </c>
      <c r="I12" t="n">
        <v>41.13</v>
      </c>
      <c r="J12" t="n">
        <v>-6.49</v>
      </c>
      <c r="K12" t="n">
        <v>-29.58</v>
      </c>
      <c r="L12">
        <f>ROUND(SQRT((I12-I2)^2+(J12-J2)^2+(K12-K2)^2),2)</f>
        <v/>
      </c>
      <c r="M12" t="inlineStr">
        <is>
          <t>measured</t>
        </is>
      </c>
    </row>
    <row r="13">
      <c r="A13" t="inlineStr">
        <is>
          <t>23C_40RH_room</t>
        </is>
      </c>
      <c r="B13" t="inlineStr">
        <is>
          <t>23 C / 40%RH (room-temp arm)</t>
        </is>
      </c>
      <c r="C13" t="inlineStr">
        <is>
          <t>measured</t>
        </is>
      </c>
      <c r="D13" t="inlineStr">
        <is>
          <t>Azurite</t>
        </is>
      </c>
      <c r="E13" t="inlineStr">
        <is>
          <t>pedestal</t>
        </is>
      </c>
      <c r="F13" t="inlineStr">
        <is>
          <t>NB.1</t>
        </is>
      </c>
      <c r="G13" t="inlineStr">
        <is>
          <t>5.18</t>
        </is>
      </c>
      <c r="H13" t="n">
        <v>31</v>
      </c>
      <c r="I13" t="n">
        <v>40.01</v>
      </c>
      <c r="J13" t="n">
        <v>-6.63</v>
      </c>
      <c r="K13" t="n">
        <v>-28.48</v>
      </c>
      <c r="L13">
        <f>ROUND(SQRT((I13-I2)^2+(J13-J2)^2+(K13-K2)^2),2)</f>
        <v/>
      </c>
      <c r="M13" t="inlineStr">
        <is>
          <t>measured</t>
        </is>
      </c>
    </row>
    <row r="14">
      <c r="A14" t="inlineStr">
        <is>
          <t>23C_40RH_room</t>
        </is>
      </c>
      <c r="B14" t="inlineStr">
        <is>
          <t>23 C / 40%RH (room-temp arm)</t>
        </is>
      </c>
      <c r="C14" t="inlineStr">
        <is>
          <t>measured</t>
        </is>
      </c>
      <c r="D14" t="inlineStr">
        <is>
          <t>Azurite</t>
        </is>
      </c>
      <c r="E14" t="inlineStr">
        <is>
          <t>pedestal</t>
        </is>
      </c>
      <c r="F14" t="inlineStr">
        <is>
          <t>NB.1</t>
        </is>
      </c>
      <c r="G14" t="inlineStr">
        <is>
          <t>5.21</t>
        </is>
      </c>
      <c r="H14" t="n">
        <v>34</v>
      </c>
      <c r="I14" t="n">
        <v>39.42</v>
      </c>
      <c r="J14" t="n">
        <v>-7.23</v>
      </c>
      <c r="K14" t="n">
        <v>-28.88</v>
      </c>
      <c r="L14">
        <f>ROUND(SQRT((I14-I2)^2+(J14-J2)^2+(K14-K2)^2),2)</f>
        <v/>
      </c>
      <c r="M14" t="inlineStr">
        <is>
          <t>measured</t>
        </is>
      </c>
    </row>
    <row r="15">
      <c r="A15" t="inlineStr">
        <is>
          <t>23C_40RH_room</t>
        </is>
      </c>
      <c r="B15" t="inlineStr">
        <is>
          <t>23 C / 40%RH (room-temp arm)</t>
        </is>
      </c>
      <c r="C15" t="inlineStr">
        <is>
          <t>measured</t>
        </is>
      </c>
      <c r="D15" t="inlineStr">
        <is>
          <t>Azurite</t>
        </is>
      </c>
      <c r="E15" t="inlineStr">
        <is>
          <t>pedestal</t>
        </is>
      </c>
      <c r="F15" t="inlineStr">
        <is>
          <t>NB.1</t>
        </is>
      </c>
      <c r="G15" t="inlineStr">
        <is>
          <t>5.24</t>
        </is>
      </c>
      <c r="H15" t="n">
        <v>37</v>
      </c>
      <c r="I15" t="n">
        <v>41.12</v>
      </c>
      <c r="J15" t="n">
        <v>-6.08</v>
      </c>
      <c r="K15" t="n">
        <v>-30.04</v>
      </c>
      <c r="L15">
        <f>ROUND(SQRT((I15-I2)^2+(J15-J2)^2+(K15-K2)^2),2)</f>
        <v/>
      </c>
      <c r="M15" t="inlineStr">
        <is>
          <t>measured</t>
        </is>
      </c>
    </row>
    <row r="16">
      <c r="A16" t="inlineStr">
        <is>
          <t>23C_40RH_room</t>
        </is>
      </c>
      <c r="B16" t="inlineStr">
        <is>
          <t>23 C / 40%RH (room-temp arm)</t>
        </is>
      </c>
      <c r="C16" t="inlineStr">
        <is>
          <t>measured</t>
        </is>
      </c>
      <c r="D16" t="inlineStr">
        <is>
          <t>Azurite</t>
        </is>
      </c>
      <c r="E16" t="inlineStr">
        <is>
          <t>pedestal</t>
        </is>
      </c>
      <c r="F16" t="inlineStr">
        <is>
          <t>NB.1</t>
        </is>
      </c>
      <c r="G16" t="inlineStr">
        <is>
          <t>5.28</t>
        </is>
      </c>
      <c r="H16" t="n">
        <v>41</v>
      </c>
      <c r="I16" t="n">
        <v>40.81</v>
      </c>
      <c r="J16" t="n">
        <v>-5.09</v>
      </c>
      <c r="K16" t="n">
        <v>-28.07</v>
      </c>
      <c r="L16">
        <f>ROUND(SQRT((I16-I2)^2+(J16-J2)^2+(K16-K2)^2),2)</f>
        <v/>
      </c>
      <c r="M16" t="inlineStr">
        <is>
          <t>measured</t>
        </is>
      </c>
    </row>
    <row r="17">
      <c r="A17" t="inlineStr">
        <is>
          <t>23C_40RH_room</t>
        </is>
      </c>
      <c r="B17" t="inlineStr">
        <is>
          <t>23 C / 40%RH (room-temp arm)</t>
        </is>
      </c>
      <c r="C17" t="inlineStr">
        <is>
          <t>measured</t>
        </is>
      </c>
      <c r="D17" t="inlineStr">
        <is>
          <t>Azurite</t>
        </is>
      </c>
      <c r="E17" t="inlineStr">
        <is>
          <t>pedestal</t>
        </is>
      </c>
      <c r="F17" t="inlineStr">
        <is>
          <t>NB.1</t>
        </is>
      </c>
      <c r="G17" t="inlineStr">
        <is>
          <t>5.31</t>
        </is>
      </c>
      <c r="H17" t="n">
        <v>44</v>
      </c>
      <c r="I17" t="n">
        <v>41.5</v>
      </c>
      <c r="J17" t="n">
        <v>-5.82</v>
      </c>
      <c r="K17" t="n">
        <v>-29.11</v>
      </c>
      <c r="L17">
        <f>ROUND(SQRT((I17-I2)^2+(J17-J2)^2+(K17-K2)^2),2)</f>
        <v/>
      </c>
      <c r="M17" t="inlineStr">
        <is>
          <t>measured</t>
        </is>
      </c>
    </row>
    <row r="18">
      <c r="A18" t="inlineStr">
        <is>
          <t>23C_40RH_room</t>
        </is>
      </c>
      <c r="B18" t="inlineStr">
        <is>
          <t>23 C / 40%RH (room-temp arm)</t>
        </is>
      </c>
      <c r="C18" t="inlineStr">
        <is>
          <t>measured</t>
        </is>
      </c>
      <c r="D18" t="inlineStr">
        <is>
          <t>Azurite</t>
        </is>
      </c>
      <c r="E18" t="inlineStr">
        <is>
          <t>pedestal</t>
        </is>
      </c>
      <c r="F18" t="inlineStr">
        <is>
          <t>NB.1</t>
        </is>
      </c>
      <c r="G18" t="inlineStr">
        <is>
          <t>6.03</t>
        </is>
      </c>
      <c r="H18" t="n">
        <v>47</v>
      </c>
      <c r="I18" t="n">
        <v>41.72</v>
      </c>
      <c r="J18" t="n">
        <v>-5.49</v>
      </c>
      <c r="K18" t="n">
        <v>-29.03</v>
      </c>
      <c r="L18">
        <f>ROUND(SQRT((I18-I2)^2+(J18-J2)^2+(K18-K2)^2),2)</f>
        <v/>
      </c>
      <c r="M18" t="inlineStr">
        <is>
          <t>measured</t>
        </is>
      </c>
    </row>
    <row r="19">
      <c r="A19" t="inlineStr">
        <is>
          <t>23C_40RH_room</t>
        </is>
      </c>
      <c r="B19" t="inlineStr">
        <is>
          <t>23 C / 40%RH (room-temp arm)</t>
        </is>
      </c>
      <c r="C19" t="inlineStr">
        <is>
          <t>measured</t>
        </is>
      </c>
      <c r="D19" t="inlineStr">
        <is>
          <t>Azurite</t>
        </is>
      </c>
      <c r="E19" t="inlineStr">
        <is>
          <t>pedestal</t>
        </is>
      </c>
      <c r="F19" t="inlineStr">
        <is>
          <t>NB.1</t>
        </is>
      </c>
      <c r="G19" t="inlineStr">
        <is>
          <t>6.06</t>
        </is>
      </c>
      <c r="H19" t="n">
        <v>50</v>
      </c>
      <c r="I19" t="n">
        <v>41.36</v>
      </c>
      <c r="J19" t="n">
        <v>-4.87</v>
      </c>
      <c r="K19" t="n">
        <v>-29.37</v>
      </c>
      <c r="L19">
        <f>ROUND(SQRT((I19-I2)^2+(J19-J2)^2+(K19-K2)^2),2)</f>
        <v/>
      </c>
      <c r="M19" t="inlineStr">
        <is>
          <t>measured</t>
        </is>
      </c>
    </row>
    <row r="20">
      <c r="A20" t="inlineStr">
        <is>
          <t>23C_40RH_room</t>
        </is>
      </c>
      <c r="B20" t="inlineStr">
        <is>
          <t>23 C / 40%RH (room-temp arm)</t>
        </is>
      </c>
      <c r="C20" t="inlineStr">
        <is>
          <t>measured</t>
        </is>
      </c>
      <c r="D20" t="inlineStr">
        <is>
          <t>Azurite</t>
        </is>
      </c>
      <c r="E20" t="inlineStr">
        <is>
          <t>pedestal</t>
        </is>
      </c>
      <c r="F20" t="inlineStr">
        <is>
          <t>NB.1</t>
        </is>
      </c>
      <c r="G20" t="inlineStr">
        <is>
          <t>6.09</t>
        </is>
      </c>
      <c r="H20" t="n">
        <v>53</v>
      </c>
      <c r="I20" t="n">
        <v>41.84</v>
      </c>
      <c r="J20" t="n">
        <v>-4.71</v>
      </c>
      <c r="K20" t="n">
        <v>-29.05</v>
      </c>
      <c r="L20">
        <f>ROUND(SQRT((I20-I2)^2+(J20-J2)^2+(K20-K2)^2),2)</f>
        <v/>
      </c>
      <c r="M20" t="inlineStr">
        <is>
          <t>measured</t>
        </is>
      </c>
    </row>
    <row r="21">
      <c r="A21" t="inlineStr">
        <is>
          <t>23C_40RH_room</t>
        </is>
      </c>
      <c r="B21" t="inlineStr">
        <is>
          <t>23 C / 40%RH (room-temp arm)</t>
        </is>
      </c>
      <c r="C21" t="inlineStr">
        <is>
          <t>measured</t>
        </is>
      </c>
      <c r="D21" t="inlineStr">
        <is>
          <t>Azurite</t>
        </is>
      </c>
      <c r="E21" t="inlineStr">
        <is>
          <t>pedestal</t>
        </is>
      </c>
      <c r="F21" t="inlineStr">
        <is>
          <t>NB.1</t>
        </is>
      </c>
      <c r="G21" t="inlineStr">
        <is>
          <t>6.13</t>
        </is>
      </c>
      <c r="H21" t="n">
        <v>57</v>
      </c>
      <c r="I21" t="n">
        <v>41.53</v>
      </c>
      <c r="J21" t="n">
        <v>-5.69</v>
      </c>
      <c r="K21" t="n">
        <v>-28.26</v>
      </c>
      <c r="L21">
        <f>ROUND(SQRT((I21-I2)^2+(J21-J2)^2+(K21-K2)^2),2)</f>
        <v/>
      </c>
      <c r="M21" t="inlineStr">
        <is>
          <t>measured</t>
        </is>
      </c>
    </row>
    <row r="22">
      <c r="A22" t="inlineStr">
        <is>
          <t>23C_40RH_room</t>
        </is>
      </c>
      <c r="B22" t="inlineStr">
        <is>
          <t>23 C / 40%RH (room-temp arm)</t>
        </is>
      </c>
      <c r="C22" t="inlineStr">
        <is>
          <t>measured</t>
        </is>
      </c>
      <c r="D22" t="inlineStr">
        <is>
          <t>Azurite</t>
        </is>
      </c>
      <c r="E22" t="inlineStr">
        <is>
          <t>pedestal</t>
        </is>
      </c>
      <c r="F22" t="inlineStr">
        <is>
          <t>NB.1</t>
        </is>
      </c>
      <c r="G22" t="inlineStr">
        <is>
          <t>6.17</t>
        </is>
      </c>
      <c r="H22" t="n">
        <v>61</v>
      </c>
      <c r="I22" t="n">
        <v>41.79</v>
      </c>
      <c r="J22" t="n">
        <v>-4.7</v>
      </c>
      <c r="K22" t="n">
        <v>-28.65</v>
      </c>
      <c r="L22">
        <f>ROUND(SQRT((I22-I2)^2+(J22-J2)^2+(K22-K2)^2),2)</f>
        <v/>
      </c>
      <c r="M22" t="inlineStr">
        <is>
          <t>measured</t>
        </is>
      </c>
    </row>
    <row r="23">
      <c r="A23" t="inlineStr">
        <is>
          <t>23C_40RH_room</t>
        </is>
      </c>
      <c r="B23" t="inlineStr">
        <is>
          <t>23 C / 40%RH (room-temp arm)</t>
        </is>
      </c>
      <c r="C23" t="inlineStr">
        <is>
          <t>measured</t>
        </is>
      </c>
      <c r="D23" t="inlineStr">
        <is>
          <t>Azurite</t>
        </is>
      </c>
      <c r="E23" t="inlineStr">
        <is>
          <t>pedestal</t>
        </is>
      </c>
      <c r="F23" t="inlineStr">
        <is>
          <t>NB.2</t>
        </is>
      </c>
      <c r="G23" t="inlineStr">
        <is>
          <t>4.17</t>
        </is>
      </c>
      <c r="H23" t="n">
        <v>0</v>
      </c>
      <c r="I23" t="n">
        <v>38.55</v>
      </c>
      <c r="J23" t="n">
        <v>-4.49</v>
      </c>
      <c r="K23" t="n">
        <v>-30.63</v>
      </c>
      <c r="L23" t="n">
        <v>0</v>
      </c>
      <c r="M23" t="inlineStr">
        <is>
          <t>measured</t>
        </is>
      </c>
    </row>
    <row r="24">
      <c r="A24" t="inlineStr">
        <is>
          <t>23C_40RH_room</t>
        </is>
      </c>
      <c r="B24" t="inlineStr">
        <is>
          <t>23 C / 40%RH (room-temp arm)</t>
        </is>
      </c>
      <c r="C24" t="inlineStr">
        <is>
          <t>measured</t>
        </is>
      </c>
      <c r="D24" t="inlineStr">
        <is>
          <t>Azurite</t>
        </is>
      </c>
      <c r="E24" t="inlineStr">
        <is>
          <t>pedestal</t>
        </is>
      </c>
      <c r="F24" t="inlineStr">
        <is>
          <t>NB.2</t>
        </is>
      </c>
      <c r="G24" t="inlineStr">
        <is>
          <t>4.20</t>
        </is>
      </c>
      <c r="H24" t="n">
        <v>3</v>
      </c>
      <c r="I24" t="n">
        <v>38.85</v>
      </c>
      <c r="J24" t="n">
        <v>-5.95</v>
      </c>
      <c r="K24" t="n">
        <v>-30.65</v>
      </c>
      <c r="L24">
        <f>ROUND(SQRT((I24-I23)^2+(J24-J23)^2+(K24-K23)^2),2)</f>
        <v/>
      </c>
      <c r="M24" t="inlineStr">
        <is>
          <t>measured</t>
        </is>
      </c>
    </row>
    <row r="25">
      <c r="A25" t="inlineStr">
        <is>
          <t>23C_40RH_room</t>
        </is>
      </c>
      <c r="B25" t="inlineStr">
        <is>
          <t>23 C / 40%RH (room-temp arm)</t>
        </is>
      </c>
      <c r="C25" t="inlineStr">
        <is>
          <t>measured</t>
        </is>
      </c>
      <c r="D25" t="inlineStr">
        <is>
          <t>Azurite</t>
        </is>
      </c>
      <c r="E25" t="inlineStr">
        <is>
          <t>pedestal</t>
        </is>
      </c>
      <c r="F25" t="inlineStr">
        <is>
          <t>NB.2</t>
        </is>
      </c>
      <c r="G25" t="inlineStr">
        <is>
          <t>4.23</t>
        </is>
      </c>
      <c r="H25" t="n">
        <v>6</v>
      </c>
      <c r="I25" t="n">
        <v>39.57</v>
      </c>
      <c r="J25" t="n">
        <v>-5.28</v>
      </c>
      <c r="K25" t="n">
        <v>-30.7</v>
      </c>
      <c r="L25">
        <f>ROUND(SQRT((I25-I23)^2+(J25-J23)^2+(K25-K23)^2),2)</f>
        <v/>
      </c>
      <c r="M25" t="inlineStr">
        <is>
          <t>measured</t>
        </is>
      </c>
    </row>
    <row r="26">
      <c r="A26" t="inlineStr">
        <is>
          <t>23C_40RH_room</t>
        </is>
      </c>
      <c r="B26" t="inlineStr">
        <is>
          <t>23 C / 40%RH (room-temp arm)</t>
        </is>
      </c>
      <c r="C26" t="inlineStr">
        <is>
          <t>measured</t>
        </is>
      </c>
      <c r="D26" t="inlineStr">
        <is>
          <t>Azurite</t>
        </is>
      </c>
      <c r="E26" t="inlineStr">
        <is>
          <t>pedestal</t>
        </is>
      </c>
      <c r="F26" t="inlineStr">
        <is>
          <t>NB.2</t>
        </is>
      </c>
      <c r="G26" t="inlineStr">
        <is>
          <t>4.26</t>
        </is>
      </c>
      <c r="H26" t="n">
        <v>9</v>
      </c>
      <c r="I26" t="n">
        <v>38.45</v>
      </c>
      <c r="J26" t="n">
        <v>-4.83</v>
      </c>
      <c r="K26" t="n">
        <v>-31.1</v>
      </c>
      <c r="L26">
        <f>ROUND(SQRT((I26-I23)^2+(J26-J23)^2+(K26-K23)^2),2)</f>
        <v/>
      </c>
      <c r="M26" t="inlineStr">
        <is>
          <t>measured</t>
        </is>
      </c>
    </row>
    <row r="27">
      <c r="A27" t="inlineStr">
        <is>
          <t>23C_40RH_room</t>
        </is>
      </c>
      <c r="B27" t="inlineStr">
        <is>
          <t>23 C / 40%RH (room-temp arm)</t>
        </is>
      </c>
      <c r="C27" t="inlineStr">
        <is>
          <t>measured</t>
        </is>
      </c>
      <c r="D27" t="inlineStr">
        <is>
          <t>Azurite</t>
        </is>
      </c>
      <c r="E27" t="inlineStr">
        <is>
          <t>pedestal</t>
        </is>
      </c>
      <c r="F27" t="inlineStr">
        <is>
          <t>NB.2</t>
        </is>
      </c>
      <c r="G27" t="inlineStr">
        <is>
          <t>4.29</t>
        </is>
      </c>
      <c r="H27" t="n">
        <v>12</v>
      </c>
      <c r="I27" t="n">
        <v>37.7</v>
      </c>
      <c r="J27" t="n">
        <v>-4.72</v>
      </c>
      <c r="K27" t="n">
        <v>-30.23</v>
      </c>
      <c r="L27">
        <f>ROUND(SQRT((I27-I23)^2+(J27-J23)^2+(K27-K23)^2),2)</f>
        <v/>
      </c>
      <c r="M27" t="inlineStr">
        <is>
          <t>measured</t>
        </is>
      </c>
    </row>
    <row r="28">
      <c r="A28" t="inlineStr">
        <is>
          <t>23C_40RH_room</t>
        </is>
      </c>
      <c r="B28" t="inlineStr">
        <is>
          <t>23 C / 40%RH (room-temp arm)</t>
        </is>
      </c>
      <c r="C28" t="inlineStr">
        <is>
          <t>measured</t>
        </is>
      </c>
      <c r="D28" t="inlineStr">
        <is>
          <t>Azurite</t>
        </is>
      </c>
      <c r="E28" t="inlineStr">
        <is>
          <t>pedestal</t>
        </is>
      </c>
      <c r="F28" t="inlineStr">
        <is>
          <t>NB.2</t>
        </is>
      </c>
      <c r="G28" t="inlineStr">
        <is>
          <t>5.02</t>
        </is>
      </c>
      <c r="H28" t="n">
        <v>15</v>
      </c>
      <c r="I28" t="n">
        <v>39.53</v>
      </c>
      <c r="J28" t="n">
        <v>-3.16</v>
      </c>
      <c r="K28" t="n">
        <v>-31.1</v>
      </c>
      <c r="L28">
        <f>ROUND(SQRT((I28-I23)^2+(J28-J23)^2+(K28-K23)^2),2)</f>
        <v/>
      </c>
      <c r="M28" t="inlineStr">
        <is>
          <t>measured</t>
        </is>
      </c>
    </row>
    <row r="29">
      <c r="A29" t="inlineStr">
        <is>
          <t>23C_40RH_room</t>
        </is>
      </c>
      <c r="B29" t="inlineStr">
        <is>
          <t>23 C / 40%RH (room-temp arm)</t>
        </is>
      </c>
      <c r="C29" t="inlineStr">
        <is>
          <t>measured</t>
        </is>
      </c>
      <c r="D29" t="inlineStr">
        <is>
          <t>Azurite</t>
        </is>
      </c>
      <c r="E29" t="inlineStr">
        <is>
          <t>pedestal</t>
        </is>
      </c>
      <c r="F29" t="inlineStr">
        <is>
          <t>NB.2</t>
        </is>
      </c>
      <c r="G29" t="inlineStr">
        <is>
          <t>5.05</t>
        </is>
      </c>
      <c r="H29" t="n">
        <v>18</v>
      </c>
      <c r="I29" t="n">
        <v>38.6</v>
      </c>
      <c r="J29" t="n">
        <v>-3.75</v>
      </c>
      <c r="K29" t="n">
        <v>-30.02</v>
      </c>
      <c r="L29">
        <f>ROUND(SQRT((I29-I23)^2+(J29-J23)^2+(K29-K23)^2),2)</f>
        <v/>
      </c>
      <c r="M29" t="inlineStr">
        <is>
          <t>measured</t>
        </is>
      </c>
    </row>
    <row r="30">
      <c r="A30" t="inlineStr">
        <is>
          <t>23C_40RH_room</t>
        </is>
      </c>
      <c r="B30" t="inlineStr">
        <is>
          <t>23 C / 40%RH (room-temp arm)</t>
        </is>
      </c>
      <c r="C30" t="inlineStr">
        <is>
          <t>measured</t>
        </is>
      </c>
      <c r="D30" t="inlineStr">
        <is>
          <t>Azurite</t>
        </is>
      </c>
      <c r="E30" t="inlineStr">
        <is>
          <t>pedestal</t>
        </is>
      </c>
      <c r="F30" t="inlineStr">
        <is>
          <t>NB.2</t>
        </is>
      </c>
      <c r="G30" t="inlineStr">
        <is>
          <t>5.08</t>
        </is>
      </c>
      <c r="H30" t="n">
        <v>21</v>
      </c>
      <c r="I30" t="n">
        <v>39.66</v>
      </c>
      <c r="J30" t="n">
        <v>-5.2</v>
      </c>
      <c r="K30" t="n">
        <v>-29.7</v>
      </c>
      <c r="L30">
        <f>ROUND(SQRT((I30-I23)^2+(J30-J23)^2+(K30-K23)^2),2)</f>
        <v/>
      </c>
      <c r="M30" t="inlineStr">
        <is>
          <t>measured</t>
        </is>
      </c>
    </row>
    <row r="31">
      <c r="A31" t="inlineStr">
        <is>
          <t>23C_40RH_room</t>
        </is>
      </c>
      <c r="B31" t="inlineStr">
        <is>
          <t>23 C / 40%RH (room-temp arm)</t>
        </is>
      </c>
      <c r="C31" t="inlineStr">
        <is>
          <t>measured</t>
        </is>
      </c>
      <c r="D31" t="inlineStr">
        <is>
          <t>Azurite</t>
        </is>
      </c>
      <c r="E31" t="inlineStr">
        <is>
          <t>pedestal</t>
        </is>
      </c>
      <c r="F31" t="inlineStr">
        <is>
          <t>NB.2</t>
        </is>
      </c>
      <c r="G31" t="inlineStr">
        <is>
          <t>5.11</t>
        </is>
      </c>
      <c r="H31" t="n">
        <v>24</v>
      </c>
      <c r="I31" t="n">
        <v>39.19</v>
      </c>
      <c r="J31" t="n">
        <v>-4.29</v>
      </c>
      <c r="K31" t="n">
        <v>-30.18</v>
      </c>
      <c r="L31">
        <f>ROUND(SQRT((I31-I23)^2+(J31-J23)^2+(K31-K23)^2),2)</f>
        <v/>
      </c>
      <c r="M31" t="inlineStr">
        <is>
          <t>measured</t>
        </is>
      </c>
    </row>
    <row r="32">
      <c r="A32" t="inlineStr">
        <is>
          <t>23C_40RH_room</t>
        </is>
      </c>
      <c r="B32" t="inlineStr">
        <is>
          <t>23 C / 40%RH (room-temp arm)</t>
        </is>
      </c>
      <c r="C32" t="inlineStr">
        <is>
          <t>measured</t>
        </is>
      </c>
      <c r="D32" t="inlineStr">
        <is>
          <t>Azurite</t>
        </is>
      </c>
      <c r="E32" t="inlineStr">
        <is>
          <t>pedestal</t>
        </is>
      </c>
      <c r="F32" t="inlineStr">
        <is>
          <t>NB.2</t>
        </is>
      </c>
      <c r="G32" t="inlineStr">
        <is>
          <t>5.12</t>
        </is>
      </c>
      <c r="H32" t="n">
        <v>25</v>
      </c>
      <c r="I32" t="n">
        <v>38.85</v>
      </c>
      <c r="J32" t="n">
        <v>-4.82</v>
      </c>
      <c r="K32" t="n">
        <v>-30.63</v>
      </c>
      <c r="L32">
        <f>ROUND(SQRT((I32-I23)^2+(J32-J23)^2+(K32-K23)^2),2)</f>
        <v/>
      </c>
      <c r="M32" t="inlineStr">
        <is>
          <t>measured</t>
        </is>
      </c>
    </row>
    <row r="33">
      <c r="A33" t="inlineStr">
        <is>
          <t>23C_40RH_room</t>
        </is>
      </c>
      <c r="B33" t="inlineStr">
        <is>
          <t>23 C / 40%RH (room-temp arm)</t>
        </is>
      </c>
      <c r="C33" t="inlineStr">
        <is>
          <t>measured</t>
        </is>
      </c>
      <c r="D33" t="inlineStr">
        <is>
          <t>Azurite</t>
        </is>
      </c>
      <c r="E33" t="inlineStr">
        <is>
          <t>pedestal</t>
        </is>
      </c>
      <c r="F33" t="inlineStr">
        <is>
          <t>NB.2</t>
        </is>
      </c>
      <c r="G33" t="inlineStr">
        <is>
          <t>5.14</t>
        </is>
      </c>
      <c r="H33" t="n">
        <v>27</v>
      </c>
      <c r="I33" t="n">
        <v>39.22</v>
      </c>
      <c r="J33" t="n">
        <v>-4.74</v>
      </c>
      <c r="K33" t="n">
        <v>-30.09</v>
      </c>
      <c r="L33">
        <f>ROUND(SQRT((I33-I23)^2+(J33-J23)^2+(K33-K23)^2),2)</f>
        <v/>
      </c>
      <c r="M33" t="inlineStr">
        <is>
          <t>measured</t>
        </is>
      </c>
    </row>
    <row r="34">
      <c r="A34" t="inlineStr">
        <is>
          <t>23C_40RH_room</t>
        </is>
      </c>
      <c r="B34" t="inlineStr">
        <is>
          <t>23 C / 40%RH (room-temp arm)</t>
        </is>
      </c>
      <c r="C34" t="inlineStr">
        <is>
          <t>measured</t>
        </is>
      </c>
      <c r="D34" t="inlineStr">
        <is>
          <t>Azurite</t>
        </is>
      </c>
      <c r="E34" t="inlineStr">
        <is>
          <t>pedestal</t>
        </is>
      </c>
      <c r="F34" t="inlineStr">
        <is>
          <t>NB.2</t>
        </is>
      </c>
      <c r="G34" t="inlineStr">
        <is>
          <t>5.18</t>
        </is>
      </c>
      <c r="H34" t="n">
        <v>31</v>
      </c>
      <c r="I34" t="n">
        <v>40.4</v>
      </c>
      <c r="J34" t="n">
        <v>-4.42</v>
      </c>
      <c r="K34" t="n">
        <v>-30.59</v>
      </c>
      <c r="L34">
        <f>ROUND(SQRT((I34-I23)^2+(J34-J23)^2+(K34-K23)^2),2)</f>
        <v/>
      </c>
      <c r="M34" t="inlineStr">
        <is>
          <t>measured</t>
        </is>
      </c>
    </row>
    <row r="35">
      <c r="A35" t="inlineStr">
        <is>
          <t>23C_40RH_room</t>
        </is>
      </c>
      <c r="B35" t="inlineStr">
        <is>
          <t>23 C / 40%RH (room-temp arm)</t>
        </is>
      </c>
      <c r="C35" t="inlineStr">
        <is>
          <t>measured</t>
        </is>
      </c>
      <c r="D35" t="inlineStr">
        <is>
          <t>Azurite</t>
        </is>
      </c>
      <c r="E35" t="inlineStr">
        <is>
          <t>pedestal</t>
        </is>
      </c>
      <c r="F35" t="inlineStr">
        <is>
          <t>NB.2</t>
        </is>
      </c>
      <c r="G35" t="inlineStr">
        <is>
          <t>5.21</t>
        </is>
      </c>
      <c r="H35" t="n">
        <v>34</v>
      </c>
      <c r="I35" t="n">
        <v>40.54</v>
      </c>
      <c r="J35" t="n">
        <v>-4.12</v>
      </c>
      <c r="K35" t="n">
        <v>-29.7</v>
      </c>
      <c r="L35">
        <f>ROUND(SQRT((I35-I23)^2+(J35-J23)^2+(K35-K23)^2),2)</f>
        <v/>
      </c>
      <c r="M35" t="inlineStr">
        <is>
          <t>measured</t>
        </is>
      </c>
    </row>
    <row r="36">
      <c r="A36" t="inlineStr">
        <is>
          <t>23C_40RH_room</t>
        </is>
      </c>
      <c r="B36" t="inlineStr">
        <is>
          <t>23 C / 40%RH (room-temp arm)</t>
        </is>
      </c>
      <c r="C36" t="inlineStr">
        <is>
          <t>measured</t>
        </is>
      </c>
      <c r="D36" t="inlineStr">
        <is>
          <t>Azurite</t>
        </is>
      </c>
      <c r="E36" t="inlineStr">
        <is>
          <t>pedestal</t>
        </is>
      </c>
      <c r="F36" t="inlineStr">
        <is>
          <t>NB.2</t>
        </is>
      </c>
      <c r="G36" t="inlineStr">
        <is>
          <t>5.24</t>
        </is>
      </c>
      <c r="H36" t="n">
        <v>37</v>
      </c>
      <c r="I36" t="n">
        <v>39.18</v>
      </c>
      <c r="J36" t="n">
        <v>-4.79</v>
      </c>
      <c r="K36" t="n">
        <v>-31.61</v>
      </c>
      <c r="L36">
        <f>ROUND(SQRT((I36-I23)^2+(J36-J23)^2+(K36-K23)^2),2)</f>
        <v/>
      </c>
      <c r="M36" t="inlineStr">
        <is>
          <t>measured</t>
        </is>
      </c>
    </row>
    <row r="37">
      <c r="A37" t="inlineStr">
        <is>
          <t>23C_40RH_room</t>
        </is>
      </c>
      <c r="B37" t="inlineStr">
        <is>
          <t>23 C / 40%RH (room-temp arm)</t>
        </is>
      </c>
      <c r="C37" t="inlineStr">
        <is>
          <t>measured</t>
        </is>
      </c>
      <c r="D37" t="inlineStr">
        <is>
          <t>Azurite</t>
        </is>
      </c>
      <c r="E37" t="inlineStr">
        <is>
          <t>pedestal</t>
        </is>
      </c>
      <c r="F37" t="inlineStr">
        <is>
          <t>NB.2</t>
        </is>
      </c>
      <c r="G37" t="inlineStr">
        <is>
          <t>5.28</t>
        </is>
      </c>
      <c r="H37" t="n">
        <v>41</v>
      </c>
      <c r="I37" t="n">
        <v>39.3</v>
      </c>
      <c r="J37" t="n">
        <v>-3.82</v>
      </c>
      <c r="K37" t="n">
        <v>-30.53</v>
      </c>
      <c r="L37">
        <f>ROUND(SQRT((I37-I23)^2+(J37-J23)^2+(K37-K23)^2),2)</f>
        <v/>
      </c>
      <c r="M37" t="inlineStr">
        <is>
          <t>measured</t>
        </is>
      </c>
    </row>
    <row r="38">
      <c r="A38" t="inlineStr">
        <is>
          <t>23C_40RH_room</t>
        </is>
      </c>
      <c r="B38" t="inlineStr">
        <is>
          <t>23 C / 40%RH (room-temp arm)</t>
        </is>
      </c>
      <c r="C38" t="inlineStr">
        <is>
          <t>measured</t>
        </is>
      </c>
      <c r="D38" t="inlineStr">
        <is>
          <t>Azurite</t>
        </is>
      </c>
      <c r="E38" t="inlineStr">
        <is>
          <t>pedestal</t>
        </is>
      </c>
      <c r="F38" t="inlineStr">
        <is>
          <t>NB.2</t>
        </is>
      </c>
      <c r="G38" t="inlineStr">
        <is>
          <t>5.31</t>
        </is>
      </c>
      <c r="H38" t="n">
        <v>44</v>
      </c>
      <c r="I38" t="n">
        <v>39.99</v>
      </c>
      <c r="J38" t="n">
        <v>-5.37</v>
      </c>
      <c r="K38" t="n">
        <v>-31.67</v>
      </c>
      <c r="L38">
        <f>ROUND(SQRT((I38-I23)^2+(J38-J23)^2+(K38-K23)^2),2)</f>
        <v/>
      </c>
      <c r="M38" t="inlineStr">
        <is>
          <t>measured</t>
        </is>
      </c>
    </row>
    <row r="39">
      <c r="A39" t="inlineStr">
        <is>
          <t>23C_40RH_room</t>
        </is>
      </c>
      <c r="B39" t="inlineStr">
        <is>
          <t>23 C / 40%RH (room-temp arm)</t>
        </is>
      </c>
      <c r="C39" t="inlineStr">
        <is>
          <t>measured</t>
        </is>
      </c>
      <c r="D39" t="inlineStr">
        <is>
          <t>Azurite</t>
        </is>
      </c>
      <c r="E39" t="inlineStr">
        <is>
          <t>pedestal</t>
        </is>
      </c>
      <c r="F39" t="inlineStr">
        <is>
          <t>NB.2</t>
        </is>
      </c>
      <c r="G39" t="inlineStr">
        <is>
          <t>6.03</t>
        </is>
      </c>
      <c r="H39" t="n">
        <v>47</v>
      </c>
      <c r="I39" t="n">
        <v>38.69</v>
      </c>
      <c r="J39" t="n">
        <v>-4.57</v>
      </c>
      <c r="K39" t="n">
        <v>-31.3</v>
      </c>
      <c r="L39">
        <f>ROUND(SQRT((I39-I23)^2+(J39-J23)^2+(K39-K23)^2),2)</f>
        <v/>
      </c>
      <c r="M39" t="inlineStr">
        <is>
          <t>measured</t>
        </is>
      </c>
    </row>
    <row r="40">
      <c r="A40" t="inlineStr">
        <is>
          <t>23C_40RH_room</t>
        </is>
      </c>
      <c r="B40" t="inlineStr">
        <is>
          <t>23 C / 40%RH (room-temp arm)</t>
        </is>
      </c>
      <c r="C40" t="inlineStr">
        <is>
          <t>measured</t>
        </is>
      </c>
      <c r="D40" t="inlineStr">
        <is>
          <t>Azurite</t>
        </is>
      </c>
      <c r="E40" t="inlineStr">
        <is>
          <t>pedestal</t>
        </is>
      </c>
      <c r="F40" t="inlineStr">
        <is>
          <t>NB.2</t>
        </is>
      </c>
      <c r="G40" t="inlineStr">
        <is>
          <t>6.06</t>
        </is>
      </c>
      <c r="H40" t="n">
        <v>50</v>
      </c>
      <c r="I40" t="n">
        <v>39.56</v>
      </c>
      <c r="J40" t="n">
        <v>-2.76</v>
      </c>
      <c r="K40" t="n">
        <v>-29.27</v>
      </c>
      <c r="L40">
        <f>ROUND(SQRT((I40-I23)^2+(J40-J23)^2+(K40-K23)^2),2)</f>
        <v/>
      </c>
      <c r="M40" t="inlineStr">
        <is>
          <t>measured</t>
        </is>
      </c>
    </row>
    <row r="41">
      <c r="A41" t="inlineStr">
        <is>
          <t>23C_40RH_room</t>
        </is>
      </c>
      <c r="B41" t="inlineStr">
        <is>
          <t>23 C / 40%RH (room-temp arm)</t>
        </is>
      </c>
      <c r="C41" t="inlineStr">
        <is>
          <t>measured</t>
        </is>
      </c>
      <c r="D41" t="inlineStr">
        <is>
          <t>Azurite</t>
        </is>
      </c>
      <c r="E41" t="inlineStr">
        <is>
          <t>pedestal</t>
        </is>
      </c>
      <c r="F41" t="inlineStr">
        <is>
          <t>NB.2</t>
        </is>
      </c>
      <c r="G41" t="inlineStr">
        <is>
          <t>6.09</t>
        </is>
      </c>
      <c r="H41" t="n">
        <v>53</v>
      </c>
      <c r="I41" t="n">
        <v>39.36</v>
      </c>
      <c r="J41" t="n">
        <v>-4.43</v>
      </c>
      <c r="K41" t="n">
        <v>-29.57</v>
      </c>
      <c r="L41">
        <f>ROUND(SQRT((I41-I23)^2+(J41-J23)^2+(K41-K23)^2),2)</f>
        <v/>
      </c>
      <c r="M41" t="inlineStr">
        <is>
          <t>measured</t>
        </is>
      </c>
    </row>
    <row r="42">
      <c r="A42" t="inlineStr">
        <is>
          <t>23C_40RH_room</t>
        </is>
      </c>
      <c r="B42" t="inlineStr">
        <is>
          <t>23 C / 40%RH (room-temp arm)</t>
        </is>
      </c>
      <c r="C42" t="inlineStr">
        <is>
          <t>measured</t>
        </is>
      </c>
      <c r="D42" t="inlineStr">
        <is>
          <t>Azurite</t>
        </is>
      </c>
      <c r="E42" t="inlineStr">
        <is>
          <t>pedestal</t>
        </is>
      </c>
      <c r="F42" t="inlineStr">
        <is>
          <t>NB.2</t>
        </is>
      </c>
      <c r="G42" t="inlineStr">
        <is>
          <t>6.13</t>
        </is>
      </c>
      <c r="H42" t="n">
        <v>57</v>
      </c>
      <c r="I42" t="n">
        <v>39.66</v>
      </c>
      <c r="J42" t="n">
        <v>-3.59</v>
      </c>
      <c r="K42" t="n">
        <v>-30.67</v>
      </c>
      <c r="L42">
        <f>ROUND(SQRT((I42-I23)^2+(J42-J23)^2+(K42-K23)^2),2)</f>
        <v/>
      </c>
      <c r="M42" t="inlineStr">
        <is>
          <t>measured</t>
        </is>
      </c>
    </row>
    <row r="43">
      <c r="A43" t="inlineStr">
        <is>
          <t>23C_40RH_room</t>
        </is>
      </c>
      <c r="B43" t="inlineStr">
        <is>
          <t>23 C / 40%RH (room-temp arm)</t>
        </is>
      </c>
      <c r="C43" t="inlineStr">
        <is>
          <t>measured</t>
        </is>
      </c>
      <c r="D43" t="inlineStr">
        <is>
          <t>Azurite</t>
        </is>
      </c>
      <c r="E43" t="inlineStr">
        <is>
          <t>pedestal</t>
        </is>
      </c>
      <c r="F43" t="inlineStr">
        <is>
          <t>NB.2</t>
        </is>
      </c>
      <c r="G43" t="inlineStr">
        <is>
          <t>6.17</t>
        </is>
      </c>
      <c r="H43" t="n">
        <v>61</v>
      </c>
      <c r="I43" t="n">
        <v>38.92</v>
      </c>
      <c r="J43" t="n">
        <v>-4.53</v>
      </c>
      <c r="K43" t="n">
        <v>-31.19</v>
      </c>
      <c r="L43">
        <f>ROUND(SQRT((I43-I23)^2+(J43-J23)^2+(K43-K23)^2),2)</f>
        <v/>
      </c>
      <c r="M43" t="inlineStr">
        <is>
          <t>measured</t>
        </is>
      </c>
    </row>
    <row r="44">
      <c r="A44" t="inlineStr">
        <is>
          <t>23C_40RH_room</t>
        </is>
      </c>
      <c r="B44" t="inlineStr">
        <is>
          <t>23 C / 40%RH (room-temp arm)</t>
        </is>
      </c>
      <c r="C44" t="inlineStr">
        <is>
          <t>measured</t>
        </is>
      </c>
      <c r="D44" t="inlineStr">
        <is>
          <t>Azurite</t>
        </is>
      </c>
      <c r="E44" t="inlineStr">
        <is>
          <t>pedestal</t>
        </is>
      </c>
      <c r="F44" t="inlineStr">
        <is>
          <t>NB.3</t>
        </is>
      </c>
      <c r="G44" t="inlineStr">
        <is>
          <t>4.17</t>
        </is>
      </c>
      <c r="H44" t="n">
        <v>0</v>
      </c>
      <c r="I44" t="n">
        <v>41.14</v>
      </c>
      <c r="J44" t="n">
        <v>-5.7</v>
      </c>
      <c r="K44" t="n">
        <v>-29.66</v>
      </c>
      <c r="L44" t="n">
        <v>0</v>
      </c>
      <c r="M44" t="inlineStr">
        <is>
          <t>measured</t>
        </is>
      </c>
    </row>
    <row r="45">
      <c r="A45" t="inlineStr">
        <is>
          <t>23C_40RH_room</t>
        </is>
      </c>
      <c r="B45" t="inlineStr">
        <is>
          <t>23 C / 40%RH (room-temp arm)</t>
        </is>
      </c>
      <c r="C45" t="inlineStr">
        <is>
          <t>measured</t>
        </is>
      </c>
      <c r="D45" t="inlineStr">
        <is>
          <t>Azurite</t>
        </is>
      </c>
      <c r="E45" t="inlineStr">
        <is>
          <t>pedestal</t>
        </is>
      </c>
      <c r="F45" t="inlineStr">
        <is>
          <t>NB.3</t>
        </is>
      </c>
      <c r="G45" t="inlineStr">
        <is>
          <t>4.20</t>
        </is>
      </c>
      <c r="H45" t="n">
        <v>3</v>
      </c>
      <c r="I45" t="n">
        <v>40.79</v>
      </c>
      <c r="J45" t="n">
        <v>-4.7</v>
      </c>
      <c r="K45" t="n">
        <v>-30.33</v>
      </c>
      <c r="L45">
        <f>ROUND(SQRT((I45-I44)^2+(J45-J44)^2+(K45-K44)^2),2)</f>
        <v/>
      </c>
      <c r="M45" t="inlineStr">
        <is>
          <t>measured</t>
        </is>
      </c>
    </row>
    <row r="46">
      <c r="A46" t="inlineStr">
        <is>
          <t>23C_40RH_room</t>
        </is>
      </c>
      <c r="B46" t="inlineStr">
        <is>
          <t>23 C / 40%RH (room-temp arm)</t>
        </is>
      </c>
      <c r="C46" t="inlineStr">
        <is>
          <t>measured</t>
        </is>
      </c>
      <c r="D46" t="inlineStr">
        <is>
          <t>Azurite</t>
        </is>
      </c>
      <c r="E46" t="inlineStr">
        <is>
          <t>pedestal</t>
        </is>
      </c>
      <c r="F46" t="inlineStr">
        <is>
          <t>NB.3</t>
        </is>
      </c>
      <c r="G46" t="inlineStr">
        <is>
          <t>4.23</t>
        </is>
      </c>
      <c r="H46" t="n">
        <v>6</v>
      </c>
      <c r="I46" t="n">
        <v>42.9</v>
      </c>
      <c r="J46" t="n">
        <v>-5.64</v>
      </c>
      <c r="K46" t="n">
        <v>-29.09</v>
      </c>
      <c r="L46">
        <f>ROUND(SQRT((I46-I44)^2+(J46-J44)^2+(K46-K44)^2),2)</f>
        <v/>
      </c>
      <c r="M46" t="inlineStr">
        <is>
          <t>measured</t>
        </is>
      </c>
    </row>
    <row r="47">
      <c r="A47" t="inlineStr">
        <is>
          <t>23C_40RH_room</t>
        </is>
      </c>
      <c r="B47" t="inlineStr">
        <is>
          <t>23 C / 40%RH (room-temp arm)</t>
        </is>
      </c>
      <c r="C47" t="inlineStr">
        <is>
          <t>measured</t>
        </is>
      </c>
      <c r="D47" t="inlineStr">
        <is>
          <t>Azurite</t>
        </is>
      </c>
      <c r="E47" t="inlineStr">
        <is>
          <t>pedestal</t>
        </is>
      </c>
      <c r="F47" t="inlineStr">
        <is>
          <t>NB.3</t>
        </is>
      </c>
      <c r="G47" t="inlineStr">
        <is>
          <t>4.26</t>
        </is>
      </c>
      <c r="H47" t="n">
        <v>9</v>
      </c>
      <c r="I47" t="n">
        <v>41.54</v>
      </c>
      <c r="J47" t="n">
        <v>-5.57</v>
      </c>
      <c r="K47" t="n">
        <v>-29.08</v>
      </c>
      <c r="L47">
        <f>ROUND(SQRT((I47-I44)^2+(J47-J44)^2+(K47-K44)^2),2)</f>
        <v/>
      </c>
      <c r="M47" t="inlineStr">
        <is>
          <t>measured</t>
        </is>
      </c>
    </row>
    <row r="48">
      <c r="A48" t="inlineStr">
        <is>
          <t>23C_40RH_room</t>
        </is>
      </c>
      <c r="B48" t="inlineStr">
        <is>
          <t>23 C / 40%RH (room-temp arm)</t>
        </is>
      </c>
      <c r="C48" t="inlineStr">
        <is>
          <t>measured</t>
        </is>
      </c>
      <c r="D48" t="inlineStr">
        <is>
          <t>Azurite</t>
        </is>
      </c>
      <c r="E48" t="inlineStr">
        <is>
          <t>pedestal</t>
        </is>
      </c>
      <c r="F48" t="inlineStr">
        <is>
          <t>NB.3</t>
        </is>
      </c>
      <c r="G48" t="inlineStr">
        <is>
          <t>4.29</t>
        </is>
      </c>
      <c r="H48" t="n">
        <v>12</v>
      </c>
      <c r="I48" t="n">
        <v>40.88</v>
      </c>
      <c r="J48" t="n">
        <v>-4.67</v>
      </c>
      <c r="K48" t="n">
        <v>-29.23</v>
      </c>
      <c r="L48">
        <f>ROUND(SQRT((I48-I44)^2+(J48-J44)^2+(K48-K44)^2),2)</f>
        <v/>
      </c>
      <c r="M48" t="inlineStr">
        <is>
          <t>measured</t>
        </is>
      </c>
    </row>
    <row r="49">
      <c r="A49" t="inlineStr">
        <is>
          <t>23C_40RH_room</t>
        </is>
      </c>
      <c r="B49" t="inlineStr">
        <is>
          <t>23 C / 40%RH (room-temp arm)</t>
        </is>
      </c>
      <c r="C49" t="inlineStr">
        <is>
          <t>measured</t>
        </is>
      </c>
      <c r="D49" t="inlineStr">
        <is>
          <t>Azurite</t>
        </is>
      </c>
      <c r="E49" t="inlineStr">
        <is>
          <t>pedestal</t>
        </is>
      </c>
      <c r="F49" t="inlineStr">
        <is>
          <t>NB.3</t>
        </is>
      </c>
      <c r="G49" t="inlineStr">
        <is>
          <t>5.02</t>
        </is>
      </c>
      <c r="H49" t="n">
        <v>15</v>
      </c>
      <c r="I49" t="n">
        <v>41.63</v>
      </c>
      <c r="J49" t="n">
        <v>-6.03</v>
      </c>
      <c r="K49" t="n">
        <v>-29.07</v>
      </c>
      <c r="L49">
        <f>ROUND(SQRT((I49-I44)^2+(J49-J44)^2+(K49-K44)^2),2)</f>
        <v/>
      </c>
      <c r="M49" t="inlineStr">
        <is>
          <t>measured</t>
        </is>
      </c>
    </row>
    <row r="50">
      <c r="A50" t="inlineStr">
        <is>
          <t>23C_40RH_room</t>
        </is>
      </c>
      <c r="B50" t="inlineStr">
        <is>
          <t>23 C / 40%RH (room-temp arm)</t>
        </is>
      </c>
      <c r="C50" t="inlineStr">
        <is>
          <t>measured</t>
        </is>
      </c>
      <c r="D50" t="inlineStr">
        <is>
          <t>Azurite</t>
        </is>
      </c>
      <c r="E50" t="inlineStr">
        <is>
          <t>pedestal</t>
        </is>
      </c>
      <c r="F50" t="inlineStr">
        <is>
          <t>NB.3</t>
        </is>
      </c>
      <c r="G50" t="inlineStr">
        <is>
          <t>5.05</t>
        </is>
      </c>
      <c r="H50" t="n">
        <v>18</v>
      </c>
      <c r="I50" t="n">
        <v>40.24</v>
      </c>
      <c r="J50" t="n">
        <v>-6.45</v>
      </c>
      <c r="K50" t="n">
        <v>-29.22</v>
      </c>
      <c r="L50">
        <f>ROUND(SQRT((I50-I44)^2+(J50-J44)^2+(K50-K44)^2),2)</f>
        <v/>
      </c>
      <c r="M50" t="inlineStr">
        <is>
          <t>measured</t>
        </is>
      </c>
    </row>
    <row r="51">
      <c r="A51" t="inlineStr">
        <is>
          <t>23C_40RH_room</t>
        </is>
      </c>
      <c r="B51" t="inlineStr">
        <is>
          <t>23 C / 40%RH (room-temp arm)</t>
        </is>
      </c>
      <c r="C51" t="inlineStr">
        <is>
          <t>measured</t>
        </is>
      </c>
      <c r="D51" t="inlineStr">
        <is>
          <t>Azurite</t>
        </is>
      </c>
      <c r="E51" t="inlineStr">
        <is>
          <t>pedestal</t>
        </is>
      </c>
      <c r="F51" t="inlineStr">
        <is>
          <t>NB.3</t>
        </is>
      </c>
      <c r="G51" t="inlineStr">
        <is>
          <t>5.08</t>
        </is>
      </c>
      <c r="H51" t="n">
        <v>21</v>
      </c>
      <c r="I51" t="n">
        <v>41.16</v>
      </c>
      <c r="J51" t="n">
        <v>-6.12</v>
      </c>
      <c r="K51" t="n">
        <v>-27.96</v>
      </c>
      <c r="L51">
        <f>ROUND(SQRT((I51-I44)^2+(J51-J44)^2+(K51-K44)^2),2)</f>
        <v/>
      </c>
      <c r="M51" t="inlineStr">
        <is>
          <t>measured</t>
        </is>
      </c>
    </row>
    <row r="52">
      <c r="A52" t="inlineStr">
        <is>
          <t>23C_40RH_room</t>
        </is>
      </c>
      <c r="B52" t="inlineStr">
        <is>
          <t>23 C / 40%RH (room-temp arm)</t>
        </is>
      </c>
      <c r="C52" t="inlineStr">
        <is>
          <t>measured</t>
        </is>
      </c>
      <c r="D52" t="inlineStr">
        <is>
          <t>Azurite</t>
        </is>
      </c>
      <c r="E52" t="inlineStr">
        <is>
          <t>pedestal</t>
        </is>
      </c>
      <c r="F52" t="inlineStr">
        <is>
          <t>NB.3</t>
        </is>
      </c>
      <c r="G52" t="inlineStr">
        <is>
          <t>5.11</t>
        </is>
      </c>
      <c r="H52" t="n">
        <v>24</v>
      </c>
      <c r="I52" t="n">
        <v>41.47</v>
      </c>
      <c r="J52" t="n">
        <v>-5.51</v>
      </c>
      <c r="K52" t="n">
        <v>-29.41</v>
      </c>
      <c r="L52">
        <f>ROUND(SQRT((I52-I44)^2+(J52-J44)^2+(K52-K44)^2),2)</f>
        <v/>
      </c>
      <c r="M52" t="inlineStr">
        <is>
          <t>measured</t>
        </is>
      </c>
    </row>
    <row r="53">
      <c r="A53" t="inlineStr">
        <is>
          <t>23C_40RH_room</t>
        </is>
      </c>
      <c r="B53" t="inlineStr">
        <is>
          <t>23 C / 40%RH (room-temp arm)</t>
        </is>
      </c>
      <c r="C53" t="inlineStr">
        <is>
          <t>measured</t>
        </is>
      </c>
      <c r="D53" t="inlineStr">
        <is>
          <t>Azurite</t>
        </is>
      </c>
      <c r="E53" t="inlineStr">
        <is>
          <t>pedestal</t>
        </is>
      </c>
      <c r="F53" t="inlineStr">
        <is>
          <t>NB.3</t>
        </is>
      </c>
      <c r="G53" t="inlineStr">
        <is>
          <t>5.12</t>
        </is>
      </c>
      <c r="H53" t="n">
        <v>25</v>
      </c>
      <c r="I53" t="n">
        <v>41.35</v>
      </c>
      <c r="J53" t="n">
        <v>-6.93</v>
      </c>
      <c r="K53" t="n">
        <v>-29.55</v>
      </c>
      <c r="L53">
        <f>ROUND(SQRT((I53-I44)^2+(J53-J44)^2+(K53-K44)^2),2)</f>
        <v/>
      </c>
      <c r="M53" t="inlineStr">
        <is>
          <t>measured</t>
        </is>
      </c>
    </row>
    <row r="54">
      <c r="A54" t="inlineStr">
        <is>
          <t>23C_40RH_room</t>
        </is>
      </c>
      <c r="B54" t="inlineStr">
        <is>
          <t>23 C / 40%RH (room-temp arm)</t>
        </is>
      </c>
      <c r="C54" t="inlineStr">
        <is>
          <t>measured</t>
        </is>
      </c>
      <c r="D54" t="inlineStr">
        <is>
          <t>Azurite</t>
        </is>
      </c>
      <c r="E54" t="inlineStr">
        <is>
          <t>pedestal</t>
        </is>
      </c>
      <c r="F54" t="inlineStr">
        <is>
          <t>NB.3</t>
        </is>
      </c>
      <c r="G54" t="inlineStr">
        <is>
          <t>5.14</t>
        </is>
      </c>
      <c r="H54" t="n">
        <v>27</v>
      </c>
      <c r="I54" t="n">
        <v>41.99</v>
      </c>
      <c r="J54" t="n">
        <v>-5.4</v>
      </c>
      <c r="K54" t="n">
        <v>-29.83</v>
      </c>
      <c r="L54">
        <f>ROUND(SQRT((I54-I44)^2+(J54-J44)^2+(K54-K44)^2),2)</f>
        <v/>
      </c>
      <c r="M54" t="inlineStr">
        <is>
          <t>measured</t>
        </is>
      </c>
    </row>
    <row r="55">
      <c r="A55" t="inlineStr">
        <is>
          <t>23C_40RH_room</t>
        </is>
      </c>
      <c r="B55" t="inlineStr">
        <is>
          <t>23 C / 40%RH (room-temp arm)</t>
        </is>
      </c>
      <c r="C55" t="inlineStr">
        <is>
          <t>measured</t>
        </is>
      </c>
      <c r="D55" t="inlineStr">
        <is>
          <t>Azurite</t>
        </is>
      </c>
      <c r="E55" t="inlineStr">
        <is>
          <t>pedestal</t>
        </is>
      </c>
      <c r="F55" t="inlineStr">
        <is>
          <t>NB.3</t>
        </is>
      </c>
      <c r="G55" t="inlineStr">
        <is>
          <t>5.18</t>
        </is>
      </c>
      <c r="H55" t="n">
        <v>31</v>
      </c>
      <c r="I55" t="n">
        <v>41.72</v>
      </c>
      <c r="J55" t="n">
        <v>-6.24</v>
      </c>
      <c r="K55" t="n">
        <v>-29.98</v>
      </c>
      <c r="L55">
        <f>ROUND(SQRT((I55-I44)^2+(J55-J44)^2+(K55-K44)^2),2)</f>
        <v/>
      </c>
      <c r="M55" t="inlineStr">
        <is>
          <t>measured</t>
        </is>
      </c>
    </row>
    <row r="56">
      <c r="A56" t="inlineStr">
        <is>
          <t>23C_40RH_room</t>
        </is>
      </c>
      <c r="B56" t="inlineStr">
        <is>
          <t>23 C / 40%RH (room-temp arm)</t>
        </is>
      </c>
      <c r="C56" t="inlineStr">
        <is>
          <t>measured</t>
        </is>
      </c>
      <c r="D56" t="inlineStr">
        <is>
          <t>Azurite</t>
        </is>
      </c>
      <c r="E56" t="inlineStr">
        <is>
          <t>pedestal</t>
        </is>
      </c>
      <c r="F56" t="inlineStr">
        <is>
          <t>NB.3</t>
        </is>
      </c>
      <c r="G56" t="inlineStr">
        <is>
          <t>5.21</t>
        </is>
      </c>
      <c r="H56" t="n">
        <v>34</v>
      </c>
      <c r="I56" t="n">
        <v>41.97</v>
      </c>
      <c r="J56" t="n">
        <v>-5.07</v>
      </c>
      <c r="K56" t="n">
        <v>-30.09</v>
      </c>
      <c r="L56">
        <f>ROUND(SQRT((I56-I44)^2+(J56-J44)^2+(K56-K44)^2),2)</f>
        <v/>
      </c>
      <c r="M56" t="inlineStr">
        <is>
          <t>measured</t>
        </is>
      </c>
    </row>
    <row r="57">
      <c r="A57" t="inlineStr">
        <is>
          <t>23C_40RH_room</t>
        </is>
      </c>
      <c r="B57" t="inlineStr">
        <is>
          <t>23 C / 40%RH (room-temp arm)</t>
        </is>
      </c>
      <c r="C57" t="inlineStr">
        <is>
          <t>measured</t>
        </is>
      </c>
      <c r="D57" t="inlineStr">
        <is>
          <t>Azurite</t>
        </is>
      </c>
      <c r="E57" t="inlineStr">
        <is>
          <t>pedestal</t>
        </is>
      </c>
      <c r="F57" t="inlineStr">
        <is>
          <t>NB.3</t>
        </is>
      </c>
      <c r="G57" t="inlineStr">
        <is>
          <t>5.24</t>
        </is>
      </c>
      <c r="H57" t="n">
        <v>37</v>
      </c>
      <c r="I57" t="n">
        <v>41.06</v>
      </c>
      <c r="J57" t="n">
        <v>-7.57</v>
      </c>
      <c r="K57" t="n">
        <v>-29.8</v>
      </c>
      <c r="L57">
        <f>ROUND(SQRT((I57-I44)^2+(J57-J44)^2+(K57-K44)^2),2)</f>
        <v/>
      </c>
      <c r="M57" t="inlineStr">
        <is>
          <t>measured</t>
        </is>
      </c>
    </row>
    <row r="58">
      <c r="A58" t="inlineStr">
        <is>
          <t>23C_40RH_room</t>
        </is>
      </c>
      <c r="B58" t="inlineStr">
        <is>
          <t>23 C / 40%RH (room-temp arm)</t>
        </is>
      </c>
      <c r="C58" t="inlineStr">
        <is>
          <t>measured</t>
        </is>
      </c>
      <c r="D58" t="inlineStr">
        <is>
          <t>Azurite</t>
        </is>
      </c>
      <c r="E58" t="inlineStr">
        <is>
          <t>pedestal</t>
        </is>
      </c>
      <c r="F58" t="inlineStr">
        <is>
          <t>NB.3</t>
        </is>
      </c>
      <c r="G58" t="inlineStr">
        <is>
          <t>5.28</t>
        </is>
      </c>
      <c r="H58" t="n">
        <v>41</v>
      </c>
      <c r="I58" t="n">
        <v>42.21</v>
      </c>
      <c r="J58" t="n">
        <v>-6.47</v>
      </c>
      <c r="K58" t="n">
        <v>-29.18</v>
      </c>
      <c r="L58">
        <f>ROUND(SQRT((I58-I44)^2+(J58-J44)^2+(K58-K44)^2),2)</f>
        <v/>
      </c>
      <c r="M58" t="inlineStr">
        <is>
          <t>measured</t>
        </is>
      </c>
    </row>
    <row r="59">
      <c r="A59" t="inlineStr">
        <is>
          <t>23C_40RH_room</t>
        </is>
      </c>
      <c r="B59" t="inlineStr">
        <is>
          <t>23 C / 40%RH (room-temp arm)</t>
        </is>
      </c>
      <c r="C59" t="inlineStr">
        <is>
          <t>measured</t>
        </is>
      </c>
      <c r="D59" t="inlineStr">
        <is>
          <t>Azurite</t>
        </is>
      </c>
      <c r="E59" t="inlineStr">
        <is>
          <t>pedestal</t>
        </is>
      </c>
      <c r="F59" t="inlineStr">
        <is>
          <t>NB.3</t>
        </is>
      </c>
      <c r="G59" t="inlineStr">
        <is>
          <t>5.31</t>
        </is>
      </c>
      <c r="H59" t="n">
        <v>44</v>
      </c>
      <c r="I59" t="n">
        <v>42.75</v>
      </c>
      <c r="J59" t="n">
        <v>-7.11</v>
      </c>
      <c r="K59" t="n">
        <v>-28.85</v>
      </c>
      <c r="L59">
        <f>ROUND(SQRT((I59-I44)^2+(J59-J44)^2+(K59-K44)^2),2)</f>
        <v/>
      </c>
      <c r="M59" t="inlineStr">
        <is>
          <t>measured</t>
        </is>
      </c>
    </row>
    <row r="60">
      <c r="A60" t="inlineStr">
        <is>
          <t>23C_40RH_room</t>
        </is>
      </c>
      <c r="B60" t="inlineStr">
        <is>
          <t>23 C / 40%RH (room-temp arm)</t>
        </is>
      </c>
      <c r="C60" t="inlineStr">
        <is>
          <t>measured</t>
        </is>
      </c>
      <c r="D60" t="inlineStr">
        <is>
          <t>Azurite</t>
        </is>
      </c>
      <c r="E60" t="inlineStr">
        <is>
          <t>pedestal</t>
        </is>
      </c>
      <c r="F60" t="inlineStr">
        <is>
          <t>NB.3</t>
        </is>
      </c>
      <c r="G60" t="inlineStr">
        <is>
          <t>6.03</t>
        </is>
      </c>
      <c r="H60" t="n">
        <v>47</v>
      </c>
      <c r="I60" t="n">
        <v>40.97</v>
      </c>
      <c r="J60" t="n">
        <v>-6.52</v>
      </c>
      <c r="K60" t="n">
        <v>-29.01</v>
      </c>
      <c r="L60">
        <f>ROUND(SQRT((I60-I44)^2+(J60-J44)^2+(K60-K44)^2),2)</f>
        <v/>
      </c>
      <c r="M60" t="inlineStr">
        <is>
          <t>measured</t>
        </is>
      </c>
    </row>
    <row r="61">
      <c r="A61" t="inlineStr">
        <is>
          <t>23C_40RH_room</t>
        </is>
      </c>
      <c r="B61" t="inlineStr">
        <is>
          <t>23 C / 40%RH (room-temp arm)</t>
        </is>
      </c>
      <c r="C61" t="inlineStr">
        <is>
          <t>measured</t>
        </is>
      </c>
      <c r="D61" t="inlineStr">
        <is>
          <t>Azurite</t>
        </is>
      </c>
      <c r="E61" t="inlineStr">
        <is>
          <t>pedestal</t>
        </is>
      </c>
      <c r="F61" t="inlineStr">
        <is>
          <t>NB.3</t>
        </is>
      </c>
      <c r="G61" t="inlineStr">
        <is>
          <t>6.06</t>
        </is>
      </c>
      <c r="H61" t="n">
        <v>50</v>
      </c>
      <c r="I61" t="n">
        <v>41.06</v>
      </c>
      <c r="J61" t="n">
        <v>-5.79</v>
      </c>
      <c r="K61" t="n">
        <v>-29.55</v>
      </c>
      <c r="L61">
        <f>ROUND(SQRT((I61-I44)^2+(J61-J44)^2+(K61-K44)^2),2)</f>
        <v/>
      </c>
      <c r="M61" t="inlineStr">
        <is>
          <t>measured</t>
        </is>
      </c>
    </row>
    <row r="62">
      <c r="A62" t="inlineStr">
        <is>
          <t>23C_40RH_room</t>
        </is>
      </c>
      <c r="B62" t="inlineStr">
        <is>
          <t>23 C / 40%RH (room-temp arm)</t>
        </is>
      </c>
      <c r="C62" t="inlineStr">
        <is>
          <t>measured</t>
        </is>
      </c>
      <c r="D62" t="inlineStr">
        <is>
          <t>Azurite</t>
        </is>
      </c>
      <c r="E62" t="inlineStr">
        <is>
          <t>pedestal</t>
        </is>
      </c>
      <c r="F62" t="inlineStr">
        <is>
          <t>NB.3</t>
        </is>
      </c>
      <c r="G62" t="inlineStr">
        <is>
          <t>6.09</t>
        </is>
      </c>
      <c r="H62" t="n">
        <v>53</v>
      </c>
      <c r="I62" t="n">
        <v>42.64</v>
      </c>
      <c r="J62" t="n">
        <v>-6.1</v>
      </c>
      <c r="K62" t="n">
        <v>-28.34</v>
      </c>
      <c r="L62">
        <f>ROUND(SQRT((I62-I44)^2+(J62-J44)^2+(K62-K44)^2),2)</f>
        <v/>
      </c>
      <c r="M62" t="inlineStr">
        <is>
          <t>measured</t>
        </is>
      </c>
    </row>
    <row r="63">
      <c r="A63" t="inlineStr">
        <is>
          <t>23C_40RH_room</t>
        </is>
      </c>
      <c r="B63" t="inlineStr">
        <is>
          <t>23 C / 40%RH (room-temp arm)</t>
        </is>
      </c>
      <c r="C63" t="inlineStr">
        <is>
          <t>measured</t>
        </is>
      </c>
      <c r="D63" t="inlineStr">
        <is>
          <t>Azurite</t>
        </is>
      </c>
      <c r="E63" t="inlineStr">
        <is>
          <t>pedestal</t>
        </is>
      </c>
      <c r="F63" t="inlineStr">
        <is>
          <t>NB.3</t>
        </is>
      </c>
      <c r="G63" t="inlineStr">
        <is>
          <t>6.13</t>
        </is>
      </c>
      <c r="H63" t="n">
        <v>57</v>
      </c>
      <c r="I63" t="n">
        <v>41.62</v>
      </c>
      <c r="J63" t="n">
        <v>-6.17</v>
      </c>
      <c r="K63" t="n">
        <v>-28.4</v>
      </c>
      <c r="L63">
        <f>ROUND(SQRT((I63-I44)^2+(J63-J44)^2+(K63-K44)^2),2)</f>
        <v/>
      </c>
      <c r="M63" t="inlineStr">
        <is>
          <t>measured</t>
        </is>
      </c>
    </row>
    <row r="64">
      <c r="A64" t="inlineStr">
        <is>
          <t>23C_40RH_room</t>
        </is>
      </c>
      <c r="B64" t="inlineStr">
        <is>
          <t>23 C / 40%RH (room-temp arm)</t>
        </is>
      </c>
      <c r="C64" t="inlineStr">
        <is>
          <t>measured</t>
        </is>
      </c>
      <c r="D64" t="inlineStr">
        <is>
          <t>Azurite</t>
        </is>
      </c>
      <c r="E64" t="inlineStr">
        <is>
          <t>pedestal</t>
        </is>
      </c>
      <c r="F64" t="inlineStr">
        <is>
          <t>NB.3</t>
        </is>
      </c>
      <c r="G64" t="inlineStr">
        <is>
          <t>6.17</t>
        </is>
      </c>
      <c r="H64" t="n">
        <v>61</v>
      </c>
      <c r="I64" t="n">
        <v>42.78</v>
      </c>
      <c r="J64" t="n">
        <v>-6.13</v>
      </c>
      <c r="K64" t="n">
        <v>-28.98</v>
      </c>
      <c r="L64">
        <f>ROUND(SQRT((I64-I44)^2+(J64-J44)^2+(K64-K44)^2),2)</f>
        <v/>
      </c>
      <c r="M64" t="inlineStr">
        <is>
          <t>measured</t>
        </is>
      </c>
    </row>
    <row r="65">
      <c r="A65" t="inlineStr">
        <is>
          <t>23C_40RH_room</t>
        </is>
      </c>
      <c r="B65" t="inlineStr">
        <is>
          <t>23 C / 40%RH (room-temp arm)</t>
        </is>
      </c>
      <c r="C65" t="inlineStr">
        <is>
          <t>measured</t>
        </is>
      </c>
      <c r="D65" t="inlineStr">
        <is>
          <t>Azurite</t>
        </is>
      </c>
      <c r="E65" t="inlineStr">
        <is>
          <t>block</t>
        </is>
      </c>
      <c r="F65" t="inlineStr">
        <is>
          <t>NTB.1</t>
        </is>
      </c>
      <c r="G65" t="inlineStr">
        <is>
          <t>4.17</t>
        </is>
      </c>
      <c r="H65" t="n">
        <v>0</v>
      </c>
      <c r="I65" t="n">
        <v>41.84</v>
      </c>
      <c r="J65" t="n">
        <v>-6.58</v>
      </c>
      <c r="K65" t="n">
        <v>-27.86</v>
      </c>
      <c r="L65" t="n">
        <v>0</v>
      </c>
      <c r="M65" t="inlineStr">
        <is>
          <t>measured</t>
        </is>
      </c>
    </row>
    <row r="66">
      <c r="A66" t="inlineStr">
        <is>
          <t>23C_40RH_room</t>
        </is>
      </c>
      <c r="B66" t="inlineStr">
        <is>
          <t>23 C / 40%RH (room-temp arm)</t>
        </is>
      </c>
      <c r="C66" t="inlineStr">
        <is>
          <t>measured</t>
        </is>
      </c>
      <c r="D66" t="inlineStr">
        <is>
          <t>Azurite</t>
        </is>
      </c>
      <c r="E66" t="inlineStr">
        <is>
          <t>block</t>
        </is>
      </c>
      <c r="F66" t="inlineStr">
        <is>
          <t>NTB.1</t>
        </is>
      </c>
      <c r="G66" t="inlineStr">
        <is>
          <t>4.20</t>
        </is>
      </c>
      <c r="H66" t="n">
        <v>3</v>
      </c>
      <c r="I66" t="n">
        <v>41.55</v>
      </c>
      <c r="J66" t="n">
        <v>-6.54</v>
      </c>
      <c r="K66" t="n">
        <v>-27.85</v>
      </c>
      <c r="L66">
        <f>ROUND(SQRT((I66-I65)^2+(J66-J65)^2+(K66-K65)^2),2)</f>
        <v/>
      </c>
      <c r="M66" t="inlineStr">
        <is>
          <t>measured</t>
        </is>
      </c>
    </row>
    <row r="67">
      <c r="A67" t="inlineStr">
        <is>
          <t>23C_40RH_room</t>
        </is>
      </c>
      <c r="B67" t="inlineStr">
        <is>
          <t>23 C / 40%RH (room-temp arm)</t>
        </is>
      </c>
      <c r="C67" t="inlineStr">
        <is>
          <t>measured</t>
        </is>
      </c>
      <c r="D67" t="inlineStr">
        <is>
          <t>Azurite</t>
        </is>
      </c>
      <c r="E67" t="inlineStr">
        <is>
          <t>block</t>
        </is>
      </c>
      <c r="F67" t="inlineStr">
        <is>
          <t>NTB.1</t>
        </is>
      </c>
      <c r="G67" t="inlineStr">
        <is>
          <t>4.23</t>
        </is>
      </c>
      <c r="H67" t="n">
        <v>6</v>
      </c>
      <c r="I67" t="n">
        <v>42.93</v>
      </c>
      <c r="J67" t="n">
        <v>-5.33</v>
      </c>
      <c r="K67" t="n">
        <v>-27.7</v>
      </c>
      <c r="L67">
        <f>ROUND(SQRT((I67-I65)^2+(J67-J65)^2+(K67-K65)^2),2)</f>
        <v/>
      </c>
      <c r="M67" t="inlineStr">
        <is>
          <t>measured</t>
        </is>
      </c>
    </row>
    <row r="68">
      <c r="A68" t="inlineStr">
        <is>
          <t>23C_40RH_room</t>
        </is>
      </c>
      <c r="B68" t="inlineStr">
        <is>
          <t>23 C / 40%RH (room-temp arm)</t>
        </is>
      </c>
      <c r="C68" t="inlineStr">
        <is>
          <t>measured</t>
        </is>
      </c>
      <c r="D68" t="inlineStr">
        <is>
          <t>Azurite</t>
        </is>
      </c>
      <c r="E68" t="inlineStr">
        <is>
          <t>block</t>
        </is>
      </c>
      <c r="F68" t="inlineStr">
        <is>
          <t>NTB.1</t>
        </is>
      </c>
      <c r="G68" t="inlineStr">
        <is>
          <t>4.26</t>
        </is>
      </c>
      <c r="H68" t="n">
        <v>9</v>
      </c>
      <c r="I68" t="n">
        <v>41.16</v>
      </c>
      <c r="J68" t="n">
        <v>-6.61</v>
      </c>
      <c r="K68" t="n">
        <v>-28.2</v>
      </c>
      <c r="L68">
        <f>ROUND(SQRT((I68-I65)^2+(J68-J65)^2+(K68-K65)^2),2)</f>
        <v/>
      </c>
      <c r="M68" t="inlineStr">
        <is>
          <t>measured</t>
        </is>
      </c>
    </row>
    <row r="69">
      <c r="A69" t="inlineStr">
        <is>
          <t>23C_40RH_room</t>
        </is>
      </c>
      <c r="B69" t="inlineStr">
        <is>
          <t>23 C / 40%RH (room-temp arm)</t>
        </is>
      </c>
      <c r="C69" t="inlineStr">
        <is>
          <t>measured</t>
        </is>
      </c>
      <c r="D69" t="inlineStr">
        <is>
          <t>Azurite</t>
        </is>
      </c>
      <c r="E69" t="inlineStr">
        <is>
          <t>block</t>
        </is>
      </c>
      <c r="F69" t="inlineStr">
        <is>
          <t>NTB.1</t>
        </is>
      </c>
      <c r="G69" t="inlineStr">
        <is>
          <t>4.29</t>
        </is>
      </c>
      <c r="H69" t="n">
        <v>12</v>
      </c>
      <c r="I69" t="n">
        <v>40.53</v>
      </c>
      <c r="J69" t="n">
        <v>-6.44</v>
      </c>
      <c r="K69" t="n">
        <v>-27.08</v>
      </c>
      <c r="L69">
        <f>ROUND(SQRT((I69-I65)^2+(J69-J65)^2+(K69-K65)^2),2)</f>
        <v/>
      </c>
      <c r="M69" t="inlineStr">
        <is>
          <t>measured</t>
        </is>
      </c>
    </row>
    <row r="70">
      <c r="A70" t="inlineStr">
        <is>
          <t>23C_40RH_room</t>
        </is>
      </c>
      <c r="B70" t="inlineStr">
        <is>
          <t>23 C / 40%RH (room-temp arm)</t>
        </is>
      </c>
      <c r="C70" t="inlineStr">
        <is>
          <t>measured</t>
        </is>
      </c>
      <c r="D70" t="inlineStr">
        <is>
          <t>Azurite</t>
        </is>
      </c>
      <c r="E70" t="inlineStr">
        <is>
          <t>block</t>
        </is>
      </c>
      <c r="F70" t="inlineStr">
        <is>
          <t>NTB.1</t>
        </is>
      </c>
      <c r="G70" t="inlineStr">
        <is>
          <t>5.02</t>
        </is>
      </c>
      <c r="H70" t="n">
        <v>15</v>
      </c>
      <c r="I70" t="n">
        <v>40.75</v>
      </c>
      <c r="J70" t="n">
        <v>-6.27</v>
      </c>
      <c r="K70" t="n">
        <v>-28.56</v>
      </c>
      <c r="L70">
        <f>ROUND(SQRT((I70-I65)^2+(J70-J65)^2+(K70-K65)^2),2)</f>
        <v/>
      </c>
      <c r="M70" t="inlineStr">
        <is>
          <t>measured</t>
        </is>
      </c>
    </row>
    <row r="71">
      <c r="A71" t="inlineStr">
        <is>
          <t>23C_40RH_room</t>
        </is>
      </c>
      <c r="B71" t="inlineStr">
        <is>
          <t>23 C / 40%RH (room-temp arm)</t>
        </is>
      </c>
      <c r="C71" t="inlineStr">
        <is>
          <t>measured</t>
        </is>
      </c>
      <c r="D71" t="inlineStr">
        <is>
          <t>Azurite</t>
        </is>
      </c>
      <c r="E71" t="inlineStr">
        <is>
          <t>block</t>
        </is>
      </c>
      <c r="F71" t="inlineStr">
        <is>
          <t>NTB.1</t>
        </is>
      </c>
      <c r="G71" t="inlineStr">
        <is>
          <t>5.05</t>
        </is>
      </c>
      <c r="H71" t="n">
        <v>18</v>
      </c>
      <c r="I71" t="n">
        <v>42.12</v>
      </c>
      <c r="J71" t="n">
        <v>-4.29</v>
      </c>
      <c r="K71" t="n">
        <v>-27.85</v>
      </c>
      <c r="L71">
        <f>ROUND(SQRT((I71-I65)^2+(J71-J65)^2+(K71-K65)^2),2)</f>
        <v/>
      </c>
      <c r="M71" t="inlineStr">
        <is>
          <t>measured</t>
        </is>
      </c>
    </row>
    <row r="72">
      <c r="A72" t="inlineStr">
        <is>
          <t>23C_40RH_room</t>
        </is>
      </c>
      <c r="B72" t="inlineStr">
        <is>
          <t>23 C / 40%RH (room-temp arm)</t>
        </is>
      </c>
      <c r="C72" t="inlineStr">
        <is>
          <t>measured</t>
        </is>
      </c>
      <c r="D72" t="inlineStr">
        <is>
          <t>Azurite</t>
        </is>
      </c>
      <c r="E72" t="inlineStr">
        <is>
          <t>block</t>
        </is>
      </c>
      <c r="F72" t="inlineStr">
        <is>
          <t>NTB.1</t>
        </is>
      </c>
      <c r="G72" t="inlineStr">
        <is>
          <t>5.08</t>
        </is>
      </c>
      <c r="H72" t="n">
        <v>21</v>
      </c>
      <c r="I72" t="n">
        <v>42.16</v>
      </c>
      <c r="J72" t="n">
        <v>-5.91</v>
      </c>
      <c r="K72" t="n">
        <v>-27.93</v>
      </c>
      <c r="L72">
        <f>ROUND(SQRT((I72-I65)^2+(J72-J65)^2+(K72-K65)^2),2)</f>
        <v/>
      </c>
      <c r="M72" t="inlineStr">
        <is>
          <t>measured</t>
        </is>
      </c>
    </row>
    <row r="73">
      <c r="A73" t="inlineStr">
        <is>
          <t>23C_40RH_room</t>
        </is>
      </c>
      <c r="B73" t="inlineStr">
        <is>
          <t>23 C / 40%RH (room-temp arm)</t>
        </is>
      </c>
      <c r="C73" t="inlineStr">
        <is>
          <t>measured</t>
        </is>
      </c>
      <c r="D73" t="inlineStr">
        <is>
          <t>Azurite</t>
        </is>
      </c>
      <c r="E73" t="inlineStr">
        <is>
          <t>block</t>
        </is>
      </c>
      <c r="F73" t="inlineStr">
        <is>
          <t>NTB.1</t>
        </is>
      </c>
      <c r="G73" t="inlineStr">
        <is>
          <t>5.11</t>
        </is>
      </c>
      <c r="H73" t="n">
        <v>24</v>
      </c>
      <c r="I73" t="n">
        <v>42.1</v>
      </c>
      <c r="J73" t="n">
        <v>-6.99</v>
      </c>
      <c r="K73" t="n">
        <v>-27.51</v>
      </c>
      <c r="L73">
        <f>ROUND(SQRT((I73-I65)^2+(J73-J65)^2+(K73-K65)^2),2)</f>
        <v/>
      </c>
      <c r="M73" t="inlineStr">
        <is>
          <t>measured</t>
        </is>
      </c>
    </row>
    <row r="74">
      <c r="A74" t="inlineStr">
        <is>
          <t>23C_40RH_room</t>
        </is>
      </c>
      <c r="B74" t="inlineStr">
        <is>
          <t>23 C / 40%RH (room-temp arm)</t>
        </is>
      </c>
      <c r="C74" t="inlineStr">
        <is>
          <t>measured</t>
        </is>
      </c>
      <c r="D74" t="inlineStr">
        <is>
          <t>Azurite</t>
        </is>
      </c>
      <c r="E74" t="inlineStr">
        <is>
          <t>block</t>
        </is>
      </c>
      <c r="F74" t="inlineStr">
        <is>
          <t>NTB.1</t>
        </is>
      </c>
      <c r="G74" t="inlineStr">
        <is>
          <t>5.12</t>
        </is>
      </c>
      <c r="H74" t="n">
        <v>25</v>
      </c>
      <c r="I74" t="n">
        <v>43.05</v>
      </c>
      <c r="J74" t="n">
        <v>-5.81</v>
      </c>
      <c r="K74" t="n">
        <v>-27.26</v>
      </c>
      <c r="L74">
        <f>ROUND(SQRT((I74-I65)^2+(J74-J65)^2+(K74-K65)^2),2)</f>
        <v/>
      </c>
      <c r="M74" t="inlineStr">
        <is>
          <t>measured</t>
        </is>
      </c>
    </row>
    <row r="75">
      <c r="A75" t="inlineStr">
        <is>
          <t>23C_40RH_room</t>
        </is>
      </c>
      <c r="B75" t="inlineStr">
        <is>
          <t>23 C / 40%RH (room-temp arm)</t>
        </is>
      </c>
      <c r="C75" t="inlineStr">
        <is>
          <t>measured</t>
        </is>
      </c>
      <c r="D75" t="inlineStr">
        <is>
          <t>Azurite</t>
        </is>
      </c>
      <c r="E75" t="inlineStr">
        <is>
          <t>block</t>
        </is>
      </c>
      <c r="F75" t="inlineStr">
        <is>
          <t>NTB.1</t>
        </is>
      </c>
      <c r="G75" t="inlineStr">
        <is>
          <t>5.14</t>
        </is>
      </c>
      <c r="H75" t="n">
        <v>27</v>
      </c>
      <c r="I75" t="n">
        <v>40.35</v>
      </c>
      <c r="J75" t="n">
        <v>-6.73</v>
      </c>
      <c r="K75" t="n">
        <v>-28.13</v>
      </c>
      <c r="L75">
        <f>ROUND(SQRT((I75-I65)^2+(J75-J65)^2+(K75-K65)^2),2)</f>
        <v/>
      </c>
      <c r="M75" t="inlineStr">
        <is>
          <t>measured</t>
        </is>
      </c>
    </row>
    <row r="76">
      <c r="A76" t="inlineStr">
        <is>
          <t>23C_40RH_room</t>
        </is>
      </c>
      <c r="B76" t="inlineStr">
        <is>
          <t>23 C / 40%RH (room-temp arm)</t>
        </is>
      </c>
      <c r="C76" t="inlineStr">
        <is>
          <t>measured</t>
        </is>
      </c>
      <c r="D76" t="inlineStr">
        <is>
          <t>Azurite</t>
        </is>
      </c>
      <c r="E76" t="inlineStr">
        <is>
          <t>block</t>
        </is>
      </c>
      <c r="F76" t="inlineStr">
        <is>
          <t>NTB.1</t>
        </is>
      </c>
      <c r="G76" t="inlineStr">
        <is>
          <t>5.18</t>
        </is>
      </c>
      <c r="H76" t="n">
        <v>31</v>
      </c>
      <c r="I76" t="n">
        <v>42.56</v>
      </c>
      <c r="J76" t="n">
        <v>-6.81</v>
      </c>
      <c r="K76" t="n">
        <v>-26.85</v>
      </c>
      <c r="L76">
        <f>ROUND(SQRT((I76-I65)^2+(J76-J65)^2+(K76-K65)^2),2)</f>
        <v/>
      </c>
      <c r="M76" t="inlineStr">
        <is>
          <t>measured</t>
        </is>
      </c>
    </row>
    <row r="77">
      <c r="A77" t="inlineStr">
        <is>
          <t>23C_40RH_room</t>
        </is>
      </c>
      <c r="B77" t="inlineStr">
        <is>
          <t>23 C / 40%RH (room-temp arm)</t>
        </is>
      </c>
      <c r="C77" t="inlineStr">
        <is>
          <t>measured</t>
        </is>
      </c>
      <c r="D77" t="inlineStr">
        <is>
          <t>Azurite</t>
        </is>
      </c>
      <c r="E77" t="inlineStr">
        <is>
          <t>block</t>
        </is>
      </c>
      <c r="F77" t="inlineStr">
        <is>
          <t>NTB.1</t>
        </is>
      </c>
      <c r="G77" t="inlineStr">
        <is>
          <t>5.21</t>
        </is>
      </c>
      <c r="H77" t="n">
        <v>34</v>
      </c>
      <c r="I77" t="n">
        <v>43.42</v>
      </c>
      <c r="J77" t="n">
        <v>-5.82</v>
      </c>
      <c r="K77" t="n">
        <v>-27.27</v>
      </c>
      <c r="L77">
        <f>ROUND(SQRT((I77-I65)^2+(J77-J65)^2+(K77-K65)^2),2)</f>
        <v/>
      </c>
      <c r="M77" t="inlineStr">
        <is>
          <t>measured</t>
        </is>
      </c>
    </row>
    <row r="78">
      <c r="A78" t="inlineStr">
        <is>
          <t>23C_40RH_room</t>
        </is>
      </c>
      <c r="B78" t="inlineStr">
        <is>
          <t>23 C / 40%RH (room-temp arm)</t>
        </is>
      </c>
      <c r="C78" t="inlineStr">
        <is>
          <t>measured</t>
        </is>
      </c>
      <c r="D78" t="inlineStr">
        <is>
          <t>Azurite</t>
        </is>
      </c>
      <c r="E78" t="inlineStr">
        <is>
          <t>block</t>
        </is>
      </c>
      <c r="F78" t="inlineStr">
        <is>
          <t>NTB.1</t>
        </is>
      </c>
      <c r="G78" t="inlineStr">
        <is>
          <t>5.24</t>
        </is>
      </c>
      <c r="H78" t="n">
        <v>37</v>
      </c>
      <c r="I78" t="n">
        <v>41.58</v>
      </c>
      <c r="J78" t="n">
        <v>-6.42</v>
      </c>
      <c r="K78" t="n">
        <v>-28.59</v>
      </c>
      <c r="L78">
        <f>ROUND(SQRT((I78-I65)^2+(J78-J65)^2+(K78-K65)^2),2)</f>
        <v/>
      </c>
      <c r="M78" t="inlineStr">
        <is>
          <t>measured</t>
        </is>
      </c>
    </row>
    <row r="79">
      <c r="A79" t="inlineStr">
        <is>
          <t>23C_40RH_room</t>
        </is>
      </c>
      <c r="B79" t="inlineStr">
        <is>
          <t>23 C / 40%RH (room-temp arm)</t>
        </is>
      </c>
      <c r="C79" t="inlineStr">
        <is>
          <t>measured</t>
        </is>
      </c>
      <c r="D79" t="inlineStr">
        <is>
          <t>Azurite</t>
        </is>
      </c>
      <c r="E79" t="inlineStr">
        <is>
          <t>block</t>
        </is>
      </c>
      <c r="F79" t="inlineStr">
        <is>
          <t>NTB.1</t>
        </is>
      </c>
      <c r="G79" t="inlineStr">
        <is>
          <t>5.28</t>
        </is>
      </c>
      <c r="H79" t="n">
        <v>41</v>
      </c>
      <c r="I79" t="n">
        <v>42.16</v>
      </c>
      <c r="J79" t="n">
        <v>-6.24</v>
      </c>
      <c r="K79" t="n">
        <v>-28.57</v>
      </c>
      <c r="L79">
        <f>ROUND(SQRT((I79-I65)^2+(J79-J65)^2+(K79-K65)^2),2)</f>
        <v/>
      </c>
      <c r="M79" t="inlineStr">
        <is>
          <t>measured</t>
        </is>
      </c>
    </row>
    <row r="80">
      <c r="A80" t="inlineStr">
        <is>
          <t>23C_40RH_room</t>
        </is>
      </c>
      <c r="B80" t="inlineStr">
        <is>
          <t>23 C / 40%RH (room-temp arm)</t>
        </is>
      </c>
      <c r="C80" t="inlineStr">
        <is>
          <t>measured</t>
        </is>
      </c>
      <c r="D80" t="inlineStr">
        <is>
          <t>Azurite</t>
        </is>
      </c>
      <c r="E80" t="inlineStr">
        <is>
          <t>block</t>
        </is>
      </c>
      <c r="F80" t="inlineStr">
        <is>
          <t>NTB.1</t>
        </is>
      </c>
      <c r="G80" t="inlineStr">
        <is>
          <t>5.31</t>
        </is>
      </c>
      <c r="H80" t="n">
        <v>44</v>
      </c>
      <c r="I80" t="n">
        <v>41.94</v>
      </c>
      <c r="J80" t="n">
        <v>-6.41</v>
      </c>
      <c r="K80" t="n">
        <v>-27.16</v>
      </c>
      <c r="L80">
        <f>ROUND(SQRT((I80-I65)^2+(J80-J65)^2+(K80-K65)^2),2)</f>
        <v/>
      </c>
      <c r="M80" t="inlineStr">
        <is>
          <t>measured</t>
        </is>
      </c>
    </row>
    <row r="81">
      <c r="A81" t="inlineStr">
        <is>
          <t>23C_40RH_room</t>
        </is>
      </c>
      <c r="B81" t="inlineStr">
        <is>
          <t>23 C / 40%RH (room-temp arm)</t>
        </is>
      </c>
      <c r="C81" t="inlineStr">
        <is>
          <t>measured</t>
        </is>
      </c>
      <c r="D81" t="inlineStr">
        <is>
          <t>Azurite</t>
        </is>
      </c>
      <c r="E81" t="inlineStr">
        <is>
          <t>block</t>
        </is>
      </c>
      <c r="F81" t="inlineStr">
        <is>
          <t>NTB.1</t>
        </is>
      </c>
      <c r="G81" t="inlineStr">
        <is>
          <t>6.03</t>
        </is>
      </c>
      <c r="H81" t="n">
        <v>47</v>
      </c>
      <c r="I81" t="n">
        <v>41.88</v>
      </c>
      <c r="J81" t="n">
        <v>-6.17</v>
      </c>
      <c r="K81" t="n">
        <v>-27.26</v>
      </c>
      <c r="L81">
        <f>ROUND(SQRT((I81-I65)^2+(J81-J65)^2+(K81-K65)^2),2)</f>
        <v/>
      </c>
      <c r="M81" t="inlineStr">
        <is>
          <t>measured</t>
        </is>
      </c>
    </row>
    <row r="82">
      <c r="A82" t="inlineStr">
        <is>
          <t>23C_40RH_room</t>
        </is>
      </c>
      <c r="B82" t="inlineStr">
        <is>
          <t>23 C / 40%RH (room-temp arm)</t>
        </is>
      </c>
      <c r="C82" t="inlineStr">
        <is>
          <t>measured</t>
        </is>
      </c>
      <c r="D82" t="inlineStr">
        <is>
          <t>Azurite</t>
        </is>
      </c>
      <c r="E82" t="inlineStr">
        <is>
          <t>block</t>
        </is>
      </c>
      <c r="F82" t="inlineStr">
        <is>
          <t>NTB.1</t>
        </is>
      </c>
      <c r="G82" t="inlineStr">
        <is>
          <t>6.06</t>
        </is>
      </c>
      <c r="H82" t="n">
        <v>50</v>
      </c>
      <c r="I82" t="n">
        <v>42.32</v>
      </c>
      <c r="J82" t="n">
        <v>-6.1</v>
      </c>
      <c r="K82" t="n">
        <v>-27.13</v>
      </c>
      <c r="L82">
        <f>ROUND(SQRT((I82-I65)^2+(J82-J65)^2+(K82-K65)^2),2)</f>
        <v/>
      </c>
      <c r="M82" t="inlineStr">
        <is>
          <t>measured</t>
        </is>
      </c>
    </row>
    <row r="83">
      <c r="A83" t="inlineStr">
        <is>
          <t>23C_40RH_room</t>
        </is>
      </c>
      <c r="B83" t="inlineStr">
        <is>
          <t>23 C / 40%RH (room-temp arm)</t>
        </is>
      </c>
      <c r="C83" t="inlineStr">
        <is>
          <t>measured</t>
        </is>
      </c>
      <c r="D83" t="inlineStr">
        <is>
          <t>Azurite</t>
        </is>
      </c>
      <c r="E83" t="inlineStr">
        <is>
          <t>block</t>
        </is>
      </c>
      <c r="F83" t="inlineStr">
        <is>
          <t>NTB.1</t>
        </is>
      </c>
      <c r="G83" t="inlineStr">
        <is>
          <t>6.09</t>
        </is>
      </c>
      <c r="H83" t="n">
        <v>53</v>
      </c>
      <c r="I83" t="n">
        <v>43.59</v>
      </c>
      <c r="J83" t="n">
        <v>-7.74</v>
      </c>
      <c r="K83" t="n">
        <v>-27.03</v>
      </c>
      <c r="L83">
        <f>ROUND(SQRT((I83-I65)^2+(J83-J65)^2+(K83-K65)^2),2)</f>
        <v/>
      </c>
      <c r="M83" t="inlineStr">
        <is>
          <t>measured</t>
        </is>
      </c>
    </row>
    <row r="84">
      <c r="A84" t="inlineStr">
        <is>
          <t>23C_40RH_room</t>
        </is>
      </c>
      <c r="B84" t="inlineStr">
        <is>
          <t>23 C / 40%RH (room-temp arm)</t>
        </is>
      </c>
      <c r="C84" t="inlineStr">
        <is>
          <t>measured</t>
        </is>
      </c>
      <c r="D84" t="inlineStr">
        <is>
          <t>Azurite</t>
        </is>
      </c>
      <c r="E84" t="inlineStr">
        <is>
          <t>block</t>
        </is>
      </c>
      <c r="F84" t="inlineStr">
        <is>
          <t>NTB.1</t>
        </is>
      </c>
      <c r="G84" t="inlineStr">
        <is>
          <t>6.13</t>
        </is>
      </c>
      <c r="H84" t="n">
        <v>57</v>
      </c>
      <c r="I84" t="n">
        <v>43.93</v>
      </c>
      <c r="J84" t="n">
        <v>-5.91</v>
      </c>
      <c r="K84" t="n">
        <v>-26.79</v>
      </c>
      <c r="L84">
        <f>ROUND(SQRT((I84-I65)^2+(J84-J65)^2+(K84-K65)^2),2)</f>
        <v/>
      </c>
      <c r="M84" t="inlineStr">
        <is>
          <t>measured</t>
        </is>
      </c>
    </row>
    <row r="85">
      <c r="A85" t="inlineStr">
        <is>
          <t>23C_40RH_room</t>
        </is>
      </c>
      <c r="B85" t="inlineStr">
        <is>
          <t>23 C / 40%RH (room-temp arm)</t>
        </is>
      </c>
      <c r="C85" t="inlineStr">
        <is>
          <t>measured</t>
        </is>
      </c>
      <c r="D85" t="inlineStr">
        <is>
          <t>Azurite</t>
        </is>
      </c>
      <c r="E85" t="inlineStr">
        <is>
          <t>block</t>
        </is>
      </c>
      <c r="F85" t="inlineStr">
        <is>
          <t>NTB.1</t>
        </is>
      </c>
      <c r="G85" t="inlineStr">
        <is>
          <t>6.17</t>
        </is>
      </c>
      <c r="H85" t="n">
        <v>61</v>
      </c>
      <c r="I85" t="n">
        <v>42.47</v>
      </c>
      <c r="J85" t="n">
        <v>-7.05</v>
      </c>
      <c r="K85" t="n">
        <v>-26.22</v>
      </c>
      <c r="L85">
        <f>ROUND(SQRT((I85-I65)^2+(J85-J65)^2+(K85-K65)^2),2)</f>
        <v/>
      </c>
      <c r="M85" t="inlineStr">
        <is>
          <t>measured</t>
        </is>
      </c>
    </row>
    <row r="86">
      <c r="A86" t="inlineStr">
        <is>
          <t>23C_40RH_room</t>
        </is>
      </c>
      <c r="B86" t="inlineStr">
        <is>
          <t>23 C / 40%RH (room-temp arm)</t>
        </is>
      </c>
      <c r="C86" t="inlineStr">
        <is>
          <t>measured</t>
        </is>
      </c>
      <c r="D86" t="inlineStr">
        <is>
          <t>Azurite</t>
        </is>
      </c>
      <c r="E86" t="inlineStr">
        <is>
          <t>block</t>
        </is>
      </c>
      <c r="F86" t="inlineStr">
        <is>
          <t>NTB.2</t>
        </is>
      </c>
      <c r="G86" t="inlineStr">
        <is>
          <t>4.17</t>
        </is>
      </c>
      <c r="H86" t="n">
        <v>0</v>
      </c>
      <c r="I86" t="n">
        <v>39.5</v>
      </c>
      <c r="J86" t="n">
        <v>-5.82</v>
      </c>
      <c r="K86" t="n">
        <v>-29.2</v>
      </c>
      <c r="L86" t="n">
        <v>0</v>
      </c>
      <c r="M86" t="inlineStr">
        <is>
          <t>measured</t>
        </is>
      </c>
    </row>
    <row r="87">
      <c r="A87" t="inlineStr">
        <is>
          <t>23C_40RH_room</t>
        </is>
      </c>
      <c r="B87" t="inlineStr">
        <is>
          <t>23 C / 40%RH (room-temp arm)</t>
        </is>
      </c>
      <c r="C87" t="inlineStr">
        <is>
          <t>measured</t>
        </is>
      </c>
      <c r="D87" t="inlineStr">
        <is>
          <t>Azurite</t>
        </is>
      </c>
      <c r="E87" t="inlineStr">
        <is>
          <t>block</t>
        </is>
      </c>
      <c r="F87" t="inlineStr">
        <is>
          <t>NTB.2</t>
        </is>
      </c>
      <c r="G87" t="inlineStr">
        <is>
          <t>4.20</t>
        </is>
      </c>
      <c r="H87" t="n">
        <v>3</v>
      </c>
      <c r="I87" t="n">
        <v>38.72</v>
      </c>
      <c r="J87" t="n">
        <v>-6.26</v>
      </c>
      <c r="K87" t="n">
        <v>-27.83</v>
      </c>
      <c r="L87">
        <f>ROUND(SQRT((I87-I86)^2+(J87-J86)^2+(K87-K86)^2),2)</f>
        <v/>
      </c>
      <c r="M87" t="inlineStr">
        <is>
          <t>measured</t>
        </is>
      </c>
    </row>
    <row r="88">
      <c r="A88" t="inlineStr">
        <is>
          <t>23C_40RH_room</t>
        </is>
      </c>
      <c r="B88" t="inlineStr">
        <is>
          <t>23 C / 40%RH (room-temp arm)</t>
        </is>
      </c>
      <c r="C88" t="inlineStr">
        <is>
          <t>measured</t>
        </is>
      </c>
      <c r="D88" t="inlineStr">
        <is>
          <t>Azurite</t>
        </is>
      </c>
      <c r="E88" t="inlineStr">
        <is>
          <t>block</t>
        </is>
      </c>
      <c r="F88" t="inlineStr">
        <is>
          <t>NTB.2</t>
        </is>
      </c>
      <c r="G88" t="inlineStr">
        <is>
          <t>4.23</t>
        </is>
      </c>
      <c r="H88" t="n">
        <v>6</v>
      </c>
      <c r="I88" t="n">
        <v>38.82</v>
      </c>
      <c r="J88" t="n">
        <v>-4.39</v>
      </c>
      <c r="K88" t="n">
        <v>-29.22</v>
      </c>
      <c r="L88">
        <f>ROUND(SQRT((I88-I86)^2+(J88-J86)^2+(K88-K86)^2),2)</f>
        <v/>
      </c>
      <c r="M88" t="inlineStr">
        <is>
          <t>measured</t>
        </is>
      </c>
    </row>
    <row r="89">
      <c r="A89" t="inlineStr">
        <is>
          <t>23C_40RH_room</t>
        </is>
      </c>
      <c r="B89" t="inlineStr">
        <is>
          <t>23 C / 40%RH (room-temp arm)</t>
        </is>
      </c>
      <c r="C89" t="inlineStr">
        <is>
          <t>measured</t>
        </is>
      </c>
      <c r="D89" t="inlineStr">
        <is>
          <t>Azurite</t>
        </is>
      </c>
      <c r="E89" t="inlineStr">
        <is>
          <t>block</t>
        </is>
      </c>
      <c r="F89" t="inlineStr">
        <is>
          <t>NTB.2</t>
        </is>
      </c>
      <c r="G89" t="inlineStr">
        <is>
          <t>4.26</t>
        </is>
      </c>
      <c r="H89" t="n">
        <v>9</v>
      </c>
      <c r="I89" t="n">
        <v>39.83</v>
      </c>
      <c r="J89" t="n">
        <v>-5.99</v>
      </c>
      <c r="K89" t="n">
        <v>-28.76</v>
      </c>
      <c r="L89">
        <f>ROUND(SQRT((I89-I86)^2+(J89-J86)^2+(K89-K86)^2),2)</f>
        <v/>
      </c>
      <c r="M89" t="inlineStr">
        <is>
          <t>measured</t>
        </is>
      </c>
    </row>
    <row r="90">
      <c r="A90" t="inlineStr">
        <is>
          <t>23C_40RH_room</t>
        </is>
      </c>
      <c r="B90" t="inlineStr">
        <is>
          <t>23 C / 40%RH (room-temp arm)</t>
        </is>
      </c>
      <c r="C90" t="inlineStr">
        <is>
          <t>measured</t>
        </is>
      </c>
      <c r="D90" t="inlineStr">
        <is>
          <t>Azurite</t>
        </is>
      </c>
      <c r="E90" t="inlineStr">
        <is>
          <t>block</t>
        </is>
      </c>
      <c r="F90" t="inlineStr">
        <is>
          <t>NTB.2</t>
        </is>
      </c>
      <c r="G90" t="inlineStr">
        <is>
          <t>4.29</t>
        </is>
      </c>
      <c r="H90" t="n">
        <v>12</v>
      </c>
      <c r="I90" t="n">
        <v>40.54</v>
      </c>
      <c r="J90" t="n">
        <v>-6.73</v>
      </c>
      <c r="K90" t="n">
        <v>-29.16</v>
      </c>
      <c r="L90">
        <f>ROUND(SQRT((I90-I86)^2+(J90-J86)^2+(K90-K86)^2),2)</f>
        <v/>
      </c>
      <c r="M90" t="inlineStr">
        <is>
          <t>measured</t>
        </is>
      </c>
    </row>
    <row r="91">
      <c r="A91" t="inlineStr">
        <is>
          <t>23C_40RH_room</t>
        </is>
      </c>
      <c r="B91" t="inlineStr">
        <is>
          <t>23 C / 40%RH (room-temp arm)</t>
        </is>
      </c>
      <c r="C91" t="inlineStr">
        <is>
          <t>measured</t>
        </is>
      </c>
      <c r="D91" t="inlineStr">
        <is>
          <t>Azurite</t>
        </is>
      </c>
      <c r="E91" t="inlineStr">
        <is>
          <t>block</t>
        </is>
      </c>
      <c r="F91" t="inlineStr">
        <is>
          <t>NTB.2</t>
        </is>
      </c>
      <c r="G91" t="inlineStr">
        <is>
          <t>5.02</t>
        </is>
      </c>
      <c r="H91" t="n">
        <v>15</v>
      </c>
      <c r="I91" t="n">
        <v>39.41</v>
      </c>
      <c r="J91" t="n">
        <v>-5.79</v>
      </c>
      <c r="K91" t="n">
        <v>-28.89</v>
      </c>
      <c r="L91">
        <f>ROUND(SQRT((I91-I86)^2+(J91-J86)^2+(K91-K86)^2),2)</f>
        <v/>
      </c>
      <c r="M91" t="inlineStr">
        <is>
          <t>measured</t>
        </is>
      </c>
    </row>
    <row r="92">
      <c r="A92" t="inlineStr">
        <is>
          <t>23C_40RH_room</t>
        </is>
      </c>
      <c r="B92" t="inlineStr">
        <is>
          <t>23 C / 40%RH (room-temp arm)</t>
        </is>
      </c>
      <c r="C92" t="inlineStr">
        <is>
          <t>measured</t>
        </is>
      </c>
      <c r="D92" t="inlineStr">
        <is>
          <t>Azurite</t>
        </is>
      </c>
      <c r="E92" t="inlineStr">
        <is>
          <t>block</t>
        </is>
      </c>
      <c r="F92" t="inlineStr">
        <is>
          <t>NTB.2</t>
        </is>
      </c>
      <c r="G92" t="inlineStr">
        <is>
          <t>5.05</t>
        </is>
      </c>
      <c r="H92" t="n">
        <v>18</v>
      </c>
      <c r="I92" t="n">
        <v>38</v>
      </c>
      <c r="J92" t="n">
        <v>-6.6</v>
      </c>
      <c r="K92" t="n">
        <v>-28.89</v>
      </c>
      <c r="L92">
        <f>ROUND(SQRT((I92-I86)^2+(J92-J86)^2+(K92-K86)^2),2)</f>
        <v/>
      </c>
      <c r="M92" t="inlineStr">
        <is>
          <t>measured</t>
        </is>
      </c>
    </row>
    <row r="93">
      <c r="A93" t="inlineStr">
        <is>
          <t>23C_40RH_room</t>
        </is>
      </c>
      <c r="B93" t="inlineStr">
        <is>
          <t>23 C / 40%RH (room-temp arm)</t>
        </is>
      </c>
      <c r="C93" t="inlineStr">
        <is>
          <t>measured</t>
        </is>
      </c>
      <c r="D93" t="inlineStr">
        <is>
          <t>Azurite</t>
        </is>
      </c>
      <c r="E93" t="inlineStr">
        <is>
          <t>block</t>
        </is>
      </c>
      <c r="F93" t="inlineStr">
        <is>
          <t>NTB.2</t>
        </is>
      </c>
      <c r="G93" t="inlineStr">
        <is>
          <t>5.08</t>
        </is>
      </c>
      <c r="H93" t="n">
        <v>21</v>
      </c>
      <c r="I93" t="n">
        <v>38.6</v>
      </c>
      <c r="J93" t="n">
        <v>-6.37</v>
      </c>
      <c r="K93" t="n">
        <v>-28.53</v>
      </c>
      <c r="L93">
        <f>ROUND(SQRT((I93-I86)^2+(J93-J86)^2+(K93-K86)^2),2)</f>
        <v/>
      </c>
      <c r="M93" t="inlineStr">
        <is>
          <t>measured</t>
        </is>
      </c>
    </row>
    <row r="94">
      <c r="A94" t="inlineStr">
        <is>
          <t>23C_40RH_room</t>
        </is>
      </c>
      <c r="B94" t="inlineStr">
        <is>
          <t>23 C / 40%RH (room-temp arm)</t>
        </is>
      </c>
      <c r="C94" t="inlineStr">
        <is>
          <t>measured</t>
        </is>
      </c>
      <c r="D94" t="inlineStr">
        <is>
          <t>Azurite</t>
        </is>
      </c>
      <c r="E94" t="inlineStr">
        <is>
          <t>block</t>
        </is>
      </c>
      <c r="F94" t="inlineStr">
        <is>
          <t>NTB.2</t>
        </is>
      </c>
      <c r="G94" t="inlineStr">
        <is>
          <t>5.11</t>
        </is>
      </c>
      <c r="H94" t="n">
        <v>24</v>
      </c>
      <c r="I94" t="n">
        <v>39.25</v>
      </c>
      <c r="J94" t="n">
        <v>-5.57</v>
      </c>
      <c r="K94" t="n">
        <v>-27.98</v>
      </c>
      <c r="L94">
        <f>ROUND(SQRT((I94-I86)^2+(J94-J86)^2+(K94-K86)^2),2)</f>
        <v/>
      </c>
      <c r="M94" t="inlineStr">
        <is>
          <t>measured</t>
        </is>
      </c>
    </row>
    <row r="95">
      <c r="A95" t="inlineStr">
        <is>
          <t>23C_40RH_room</t>
        </is>
      </c>
      <c r="B95" t="inlineStr">
        <is>
          <t>23 C / 40%RH (room-temp arm)</t>
        </is>
      </c>
      <c r="C95" t="inlineStr">
        <is>
          <t>measured</t>
        </is>
      </c>
      <c r="D95" t="inlineStr">
        <is>
          <t>Azurite</t>
        </is>
      </c>
      <c r="E95" t="inlineStr">
        <is>
          <t>block</t>
        </is>
      </c>
      <c r="F95" t="inlineStr">
        <is>
          <t>NTB.2</t>
        </is>
      </c>
      <c r="G95" t="inlineStr">
        <is>
          <t>5.12</t>
        </is>
      </c>
      <c r="H95" t="n">
        <v>25</v>
      </c>
      <c r="I95" t="n">
        <v>39.45</v>
      </c>
      <c r="J95" t="n">
        <v>-5.46</v>
      </c>
      <c r="K95" t="n">
        <v>-27.62</v>
      </c>
      <c r="L95">
        <f>ROUND(SQRT((I95-I86)^2+(J95-J86)^2+(K95-K86)^2),2)</f>
        <v/>
      </c>
      <c r="M95" t="inlineStr">
        <is>
          <t>measured</t>
        </is>
      </c>
    </row>
    <row r="96">
      <c r="A96" t="inlineStr">
        <is>
          <t>23C_40RH_room</t>
        </is>
      </c>
      <c r="B96" t="inlineStr">
        <is>
          <t>23 C / 40%RH (room-temp arm)</t>
        </is>
      </c>
      <c r="C96" t="inlineStr">
        <is>
          <t>measured</t>
        </is>
      </c>
      <c r="D96" t="inlineStr">
        <is>
          <t>Azurite</t>
        </is>
      </c>
      <c r="E96" t="inlineStr">
        <is>
          <t>block</t>
        </is>
      </c>
      <c r="F96" t="inlineStr">
        <is>
          <t>NTB.2</t>
        </is>
      </c>
      <c r="G96" t="inlineStr">
        <is>
          <t>5.14</t>
        </is>
      </c>
      <c r="H96" t="n">
        <v>27</v>
      </c>
      <c r="I96" t="n">
        <v>39.59</v>
      </c>
      <c r="J96" t="n">
        <v>-6.29</v>
      </c>
      <c r="K96" t="n">
        <v>-28.53</v>
      </c>
      <c r="L96">
        <f>ROUND(SQRT((I96-I86)^2+(J96-J86)^2+(K96-K86)^2),2)</f>
        <v/>
      </c>
      <c r="M96" t="inlineStr">
        <is>
          <t>measured</t>
        </is>
      </c>
    </row>
    <row r="97">
      <c r="A97" t="inlineStr">
        <is>
          <t>23C_40RH_room</t>
        </is>
      </c>
      <c r="B97" t="inlineStr">
        <is>
          <t>23 C / 40%RH (room-temp arm)</t>
        </is>
      </c>
      <c r="C97" t="inlineStr">
        <is>
          <t>measured</t>
        </is>
      </c>
      <c r="D97" t="inlineStr">
        <is>
          <t>Azurite</t>
        </is>
      </c>
      <c r="E97" t="inlineStr">
        <is>
          <t>block</t>
        </is>
      </c>
      <c r="F97" t="inlineStr">
        <is>
          <t>NTB.2</t>
        </is>
      </c>
      <c r="G97" t="inlineStr">
        <is>
          <t>5.18</t>
        </is>
      </c>
      <c r="H97" t="n">
        <v>31</v>
      </c>
      <c r="I97" t="n">
        <v>39.95</v>
      </c>
      <c r="J97" t="n">
        <v>-5.17</v>
      </c>
      <c r="K97" t="n">
        <v>-28.26</v>
      </c>
      <c r="L97">
        <f>ROUND(SQRT((I97-I86)^2+(J97-J86)^2+(K97-K86)^2),2)</f>
        <v/>
      </c>
      <c r="M97" t="inlineStr">
        <is>
          <t>measured</t>
        </is>
      </c>
    </row>
    <row r="98">
      <c r="A98" t="inlineStr">
        <is>
          <t>23C_40RH_room</t>
        </is>
      </c>
      <c r="B98" t="inlineStr">
        <is>
          <t>23 C / 40%RH (room-temp arm)</t>
        </is>
      </c>
      <c r="C98" t="inlineStr">
        <is>
          <t>measured</t>
        </is>
      </c>
      <c r="D98" t="inlineStr">
        <is>
          <t>Azurite</t>
        </is>
      </c>
      <c r="E98" t="inlineStr">
        <is>
          <t>block</t>
        </is>
      </c>
      <c r="F98" t="inlineStr">
        <is>
          <t>NTB.2</t>
        </is>
      </c>
      <c r="G98" t="inlineStr">
        <is>
          <t>5.21</t>
        </is>
      </c>
      <c r="H98" t="n">
        <v>34</v>
      </c>
      <c r="I98" t="n">
        <v>39.75</v>
      </c>
      <c r="J98" t="n">
        <v>-5.06</v>
      </c>
      <c r="K98" t="n">
        <v>-29.43</v>
      </c>
      <c r="L98">
        <f>ROUND(SQRT((I98-I86)^2+(J98-J86)^2+(K98-K86)^2),2)</f>
        <v/>
      </c>
      <c r="M98" t="inlineStr">
        <is>
          <t>measured</t>
        </is>
      </c>
    </row>
    <row r="99">
      <c r="A99" t="inlineStr">
        <is>
          <t>23C_40RH_room</t>
        </is>
      </c>
      <c r="B99" t="inlineStr">
        <is>
          <t>23 C / 40%RH (room-temp arm)</t>
        </is>
      </c>
      <c r="C99" t="inlineStr">
        <is>
          <t>measured</t>
        </is>
      </c>
      <c r="D99" t="inlineStr">
        <is>
          <t>Azurite</t>
        </is>
      </c>
      <c r="E99" t="inlineStr">
        <is>
          <t>block</t>
        </is>
      </c>
      <c r="F99" t="inlineStr">
        <is>
          <t>NTB.2</t>
        </is>
      </c>
      <c r="G99" t="inlineStr">
        <is>
          <t>5.24</t>
        </is>
      </c>
      <c r="H99" t="n">
        <v>37</v>
      </c>
      <c r="I99" t="n">
        <v>40.74</v>
      </c>
      <c r="J99" t="n">
        <v>-4.86</v>
      </c>
      <c r="K99" t="n">
        <v>-28.64</v>
      </c>
      <c r="L99">
        <f>ROUND(SQRT((I99-I86)^2+(J99-J86)^2+(K99-K86)^2),2)</f>
        <v/>
      </c>
      <c r="M99" t="inlineStr">
        <is>
          <t>measured</t>
        </is>
      </c>
    </row>
    <row r="100">
      <c r="A100" t="inlineStr">
        <is>
          <t>23C_40RH_room</t>
        </is>
      </c>
      <c r="B100" t="inlineStr">
        <is>
          <t>23 C / 40%RH (room-temp arm)</t>
        </is>
      </c>
      <c r="C100" t="inlineStr">
        <is>
          <t>measured</t>
        </is>
      </c>
      <c r="D100" t="inlineStr">
        <is>
          <t>Azurite</t>
        </is>
      </c>
      <c r="E100" t="inlineStr">
        <is>
          <t>block</t>
        </is>
      </c>
      <c r="F100" t="inlineStr">
        <is>
          <t>NTB.2</t>
        </is>
      </c>
      <c r="G100" t="inlineStr">
        <is>
          <t>5.28</t>
        </is>
      </c>
      <c r="H100" t="n">
        <v>41</v>
      </c>
      <c r="I100" t="n">
        <v>39.59</v>
      </c>
      <c r="J100" t="n">
        <v>-5.5</v>
      </c>
      <c r="K100" t="n">
        <v>-27.85</v>
      </c>
      <c r="L100">
        <f>ROUND(SQRT((I100-I86)^2+(J100-J86)^2+(K100-K86)^2),2)</f>
        <v/>
      </c>
      <c r="M100" t="inlineStr">
        <is>
          <t>measured</t>
        </is>
      </c>
    </row>
    <row r="101">
      <c r="A101" t="inlineStr">
        <is>
          <t>23C_40RH_room</t>
        </is>
      </c>
      <c r="B101" t="inlineStr">
        <is>
          <t>23 C / 40%RH (room-temp arm)</t>
        </is>
      </c>
      <c r="C101" t="inlineStr">
        <is>
          <t>measured</t>
        </is>
      </c>
      <c r="D101" t="inlineStr">
        <is>
          <t>Azurite</t>
        </is>
      </c>
      <c r="E101" t="inlineStr">
        <is>
          <t>block</t>
        </is>
      </c>
      <c r="F101" t="inlineStr">
        <is>
          <t>NTB.2</t>
        </is>
      </c>
      <c r="G101" t="inlineStr">
        <is>
          <t>5.31</t>
        </is>
      </c>
      <c r="H101" t="n">
        <v>44</v>
      </c>
      <c r="I101" t="n">
        <v>39.5</v>
      </c>
      <c r="J101" t="n">
        <v>-4.92</v>
      </c>
      <c r="K101" t="n">
        <v>-27.85</v>
      </c>
      <c r="L101">
        <f>ROUND(SQRT((I101-I86)^2+(J101-J86)^2+(K101-K86)^2),2)</f>
        <v/>
      </c>
      <c r="M101" t="inlineStr">
        <is>
          <t>measured</t>
        </is>
      </c>
    </row>
    <row r="102">
      <c r="A102" t="inlineStr">
        <is>
          <t>23C_40RH_room</t>
        </is>
      </c>
      <c r="B102" t="inlineStr">
        <is>
          <t>23 C / 40%RH (room-temp arm)</t>
        </is>
      </c>
      <c r="C102" t="inlineStr">
        <is>
          <t>measured</t>
        </is>
      </c>
      <c r="D102" t="inlineStr">
        <is>
          <t>Azurite</t>
        </is>
      </c>
      <c r="E102" t="inlineStr">
        <is>
          <t>block</t>
        </is>
      </c>
      <c r="F102" t="inlineStr">
        <is>
          <t>NTB.2</t>
        </is>
      </c>
      <c r="G102" t="inlineStr">
        <is>
          <t>6.03</t>
        </is>
      </c>
      <c r="H102" t="n">
        <v>47</v>
      </c>
      <c r="I102" t="n">
        <v>40.48</v>
      </c>
      <c r="J102" t="n">
        <v>-7.2</v>
      </c>
      <c r="K102" t="n">
        <v>-28.26</v>
      </c>
      <c r="L102">
        <f>ROUND(SQRT((I102-I86)^2+(J102-J86)^2+(K102-K86)^2),2)</f>
        <v/>
      </c>
      <c r="M102" t="inlineStr">
        <is>
          <t>measured</t>
        </is>
      </c>
    </row>
    <row r="103">
      <c r="A103" t="inlineStr">
        <is>
          <t>23C_40RH_room</t>
        </is>
      </c>
      <c r="B103" t="inlineStr">
        <is>
          <t>23 C / 40%RH (room-temp arm)</t>
        </is>
      </c>
      <c r="C103" t="inlineStr">
        <is>
          <t>measured</t>
        </is>
      </c>
      <c r="D103" t="inlineStr">
        <is>
          <t>Azurite</t>
        </is>
      </c>
      <c r="E103" t="inlineStr">
        <is>
          <t>block</t>
        </is>
      </c>
      <c r="F103" t="inlineStr">
        <is>
          <t>NTB.2</t>
        </is>
      </c>
      <c r="G103" t="inlineStr">
        <is>
          <t>6.06</t>
        </is>
      </c>
      <c r="H103" t="n">
        <v>50</v>
      </c>
      <c r="I103" t="n">
        <v>39.11</v>
      </c>
      <c r="J103" t="n">
        <v>-6.11</v>
      </c>
      <c r="K103" t="n">
        <v>-27.74</v>
      </c>
      <c r="L103">
        <f>ROUND(SQRT((I103-I86)^2+(J103-J86)^2+(K103-K86)^2),2)</f>
        <v/>
      </c>
      <c r="M103" t="inlineStr">
        <is>
          <t>measured</t>
        </is>
      </c>
    </row>
    <row r="104">
      <c r="A104" t="inlineStr">
        <is>
          <t>23C_40RH_room</t>
        </is>
      </c>
      <c r="B104" t="inlineStr">
        <is>
          <t>23 C / 40%RH (room-temp arm)</t>
        </is>
      </c>
      <c r="C104" t="inlineStr">
        <is>
          <t>measured</t>
        </is>
      </c>
      <c r="D104" t="inlineStr">
        <is>
          <t>Azurite</t>
        </is>
      </c>
      <c r="E104" t="inlineStr">
        <is>
          <t>block</t>
        </is>
      </c>
      <c r="F104" t="inlineStr">
        <is>
          <t>NTB.2</t>
        </is>
      </c>
      <c r="G104" t="inlineStr">
        <is>
          <t>6.09</t>
        </is>
      </c>
      <c r="H104" t="n">
        <v>53</v>
      </c>
      <c r="I104" t="n">
        <v>40.5</v>
      </c>
      <c r="J104" t="n">
        <v>-6.5</v>
      </c>
      <c r="K104" t="n">
        <v>-27.97</v>
      </c>
      <c r="L104">
        <f>ROUND(SQRT((I104-I86)^2+(J104-J86)^2+(K104-K86)^2),2)</f>
        <v/>
      </c>
      <c r="M104" t="inlineStr">
        <is>
          <t>measured</t>
        </is>
      </c>
    </row>
    <row r="105">
      <c r="A105" t="inlineStr">
        <is>
          <t>23C_40RH_room</t>
        </is>
      </c>
      <c r="B105" t="inlineStr">
        <is>
          <t>23 C / 40%RH (room-temp arm)</t>
        </is>
      </c>
      <c r="C105" t="inlineStr">
        <is>
          <t>measured</t>
        </is>
      </c>
      <c r="D105" t="inlineStr">
        <is>
          <t>Azurite</t>
        </is>
      </c>
      <c r="E105" t="inlineStr">
        <is>
          <t>block</t>
        </is>
      </c>
      <c r="F105" t="inlineStr">
        <is>
          <t>NTB.2</t>
        </is>
      </c>
      <c r="G105" t="inlineStr">
        <is>
          <t>6.13</t>
        </is>
      </c>
      <c r="H105" t="n">
        <v>57</v>
      </c>
      <c r="I105" t="n">
        <v>40.35</v>
      </c>
      <c r="J105" t="n">
        <v>-5.81</v>
      </c>
      <c r="K105" t="n">
        <v>-27.4</v>
      </c>
      <c r="L105">
        <f>ROUND(SQRT((I105-I86)^2+(J105-J86)^2+(K105-K86)^2),2)</f>
        <v/>
      </c>
      <c r="M105" t="inlineStr">
        <is>
          <t>measured</t>
        </is>
      </c>
    </row>
    <row r="106">
      <c r="A106" t="inlineStr">
        <is>
          <t>23C_40RH_room</t>
        </is>
      </c>
      <c r="B106" t="inlineStr">
        <is>
          <t>23 C / 40%RH (room-temp arm)</t>
        </is>
      </c>
      <c r="C106" t="inlineStr">
        <is>
          <t>measured</t>
        </is>
      </c>
      <c r="D106" t="inlineStr">
        <is>
          <t>Azurite</t>
        </is>
      </c>
      <c r="E106" t="inlineStr">
        <is>
          <t>block</t>
        </is>
      </c>
      <c r="F106" t="inlineStr">
        <is>
          <t>NTB.2</t>
        </is>
      </c>
      <c r="G106" t="inlineStr">
        <is>
          <t>6.17</t>
        </is>
      </c>
      <c r="H106" t="n">
        <v>61</v>
      </c>
      <c r="I106" t="n">
        <v>40.23</v>
      </c>
      <c r="J106" t="n">
        <v>-6.3</v>
      </c>
      <c r="K106" t="n">
        <v>-27.98</v>
      </c>
      <c r="L106">
        <f>ROUND(SQRT((I106-I86)^2+(J106-J86)^2+(K106-K86)^2),2)</f>
        <v/>
      </c>
      <c r="M106" t="inlineStr">
        <is>
          <t>measured</t>
        </is>
      </c>
    </row>
    <row r="107">
      <c r="A107" t="inlineStr">
        <is>
          <t>40C_10RH_chamber</t>
        </is>
      </c>
      <c r="B107" t="inlineStr">
        <is>
          <t>40 C / 10%RH (chamber arm)</t>
        </is>
      </c>
      <c r="C107" t="inlineStr">
        <is>
          <t>measured</t>
        </is>
      </c>
      <c r="D107" t="inlineStr">
        <is>
          <t>Azurite</t>
        </is>
      </c>
      <c r="E107" t="inlineStr">
        <is>
          <t>pedestal</t>
        </is>
      </c>
      <c r="F107" t="inlineStr">
        <is>
          <t>HB.1</t>
        </is>
      </c>
      <c r="G107" t="inlineStr">
        <is>
          <t>4.17</t>
        </is>
      </c>
      <c r="H107" t="n">
        <v>0</v>
      </c>
      <c r="I107" t="n">
        <v>41.4</v>
      </c>
      <c r="J107" t="n">
        <v>-5.3</v>
      </c>
      <c r="K107" t="n">
        <v>-32.75</v>
      </c>
      <c r="L107" t="n">
        <v>0</v>
      </c>
      <c r="M107" t="inlineStr">
        <is>
          <t>measured</t>
        </is>
      </c>
    </row>
    <row r="108">
      <c r="A108" t="inlineStr">
        <is>
          <t>40C_10RH_chamber</t>
        </is>
      </c>
      <c r="B108" t="inlineStr">
        <is>
          <t>40 C / 10%RH (chamber arm)</t>
        </is>
      </c>
      <c r="C108" t="inlineStr">
        <is>
          <t>measured</t>
        </is>
      </c>
      <c r="D108" t="inlineStr">
        <is>
          <t>Azurite</t>
        </is>
      </c>
      <c r="E108" t="inlineStr">
        <is>
          <t>pedestal</t>
        </is>
      </c>
      <c r="F108" t="inlineStr">
        <is>
          <t>HB.1</t>
        </is>
      </c>
      <c r="G108" t="inlineStr">
        <is>
          <t>4.20</t>
        </is>
      </c>
      <c r="H108" t="n">
        <v>3</v>
      </c>
      <c r="I108" t="n">
        <v>41.61</v>
      </c>
      <c r="J108" t="n">
        <v>-3.72</v>
      </c>
      <c r="K108" t="n">
        <v>-33.53</v>
      </c>
      <c r="L108">
        <f>ROUND(SQRT((I108-I107)^2+(J108-J107)^2+(K108-K107)^2),2)</f>
        <v/>
      </c>
      <c r="M108" t="inlineStr">
        <is>
          <t>measured</t>
        </is>
      </c>
    </row>
    <row r="109">
      <c r="A109" t="inlineStr">
        <is>
          <t>40C_10RH_chamber</t>
        </is>
      </c>
      <c r="B109" t="inlineStr">
        <is>
          <t>40 C / 10%RH (chamber arm)</t>
        </is>
      </c>
      <c r="C109" t="inlineStr">
        <is>
          <t>measured</t>
        </is>
      </c>
      <c r="D109" t="inlineStr">
        <is>
          <t>Azurite</t>
        </is>
      </c>
      <c r="E109" t="inlineStr">
        <is>
          <t>pedestal</t>
        </is>
      </c>
      <c r="F109" t="inlineStr">
        <is>
          <t>HB.1</t>
        </is>
      </c>
      <c r="G109" t="inlineStr">
        <is>
          <t>4.23</t>
        </is>
      </c>
      <c r="H109" t="n">
        <v>6</v>
      </c>
      <c r="I109" t="n">
        <v>42.17</v>
      </c>
      <c r="J109" t="n">
        <v>-5.15</v>
      </c>
      <c r="K109" t="n">
        <v>-31.8</v>
      </c>
      <c r="L109">
        <f>ROUND(SQRT((I109-I107)^2+(J109-J107)^2+(K109-K107)^2),2)</f>
        <v/>
      </c>
      <c r="M109" t="inlineStr">
        <is>
          <t>measured</t>
        </is>
      </c>
    </row>
    <row r="110">
      <c r="A110" t="inlineStr">
        <is>
          <t>40C_10RH_chamber</t>
        </is>
      </c>
      <c r="B110" t="inlineStr">
        <is>
          <t>40 C / 10%RH (chamber arm)</t>
        </is>
      </c>
      <c r="C110" t="inlineStr">
        <is>
          <t>measured</t>
        </is>
      </c>
      <c r="D110" t="inlineStr">
        <is>
          <t>Azurite</t>
        </is>
      </c>
      <c r="E110" t="inlineStr">
        <is>
          <t>pedestal</t>
        </is>
      </c>
      <c r="F110" t="inlineStr">
        <is>
          <t>HB.1</t>
        </is>
      </c>
      <c r="G110" t="inlineStr">
        <is>
          <t>4.26</t>
        </is>
      </c>
      <c r="H110" t="n">
        <v>9</v>
      </c>
      <c r="I110" t="n">
        <v>41.75</v>
      </c>
      <c r="J110" t="n">
        <v>-5.93</v>
      </c>
      <c r="K110" t="n">
        <v>-31.84</v>
      </c>
      <c r="L110">
        <f>ROUND(SQRT((I110-I107)^2+(J110-J107)^2+(K110-K107)^2),2)</f>
        <v/>
      </c>
      <c r="M110" t="inlineStr">
        <is>
          <t>measured</t>
        </is>
      </c>
    </row>
    <row r="111">
      <c r="A111" t="inlineStr">
        <is>
          <t>40C_10RH_chamber</t>
        </is>
      </c>
      <c r="B111" t="inlineStr">
        <is>
          <t>40 C / 10%RH (chamber arm)</t>
        </is>
      </c>
      <c r="C111" t="inlineStr">
        <is>
          <t>measured</t>
        </is>
      </c>
      <c r="D111" t="inlineStr">
        <is>
          <t>Azurite</t>
        </is>
      </c>
      <c r="E111" t="inlineStr">
        <is>
          <t>pedestal</t>
        </is>
      </c>
      <c r="F111" t="inlineStr">
        <is>
          <t>HB.1</t>
        </is>
      </c>
      <c r="G111" t="inlineStr">
        <is>
          <t>4.29</t>
        </is>
      </c>
      <c r="H111" t="n">
        <v>12</v>
      </c>
      <c r="I111" t="n">
        <v>40.48</v>
      </c>
      <c r="J111" t="n">
        <v>-4.81</v>
      </c>
      <c r="K111" t="n">
        <v>-32.03</v>
      </c>
      <c r="L111">
        <f>ROUND(SQRT((I111-I107)^2+(J111-J107)^2+(K111-K107)^2),2)</f>
        <v/>
      </c>
      <c r="M111" t="inlineStr">
        <is>
          <t>measured</t>
        </is>
      </c>
    </row>
    <row r="112">
      <c r="A112" t="inlineStr">
        <is>
          <t>40C_10RH_chamber</t>
        </is>
      </c>
      <c r="B112" t="inlineStr">
        <is>
          <t>40 C / 10%RH (chamber arm)</t>
        </is>
      </c>
      <c r="C112" t="inlineStr">
        <is>
          <t>measured</t>
        </is>
      </c>
      <c r="D112" t="inlineStr">
        <is>
          <t>Azurite</t>
        </is>
      </c>
      <c r="E112" t="inlineStr">
        <is>
          <t>pedestal</t>
        </is>
      </c>
      <c r="F112" t="inlineStr">
        <is>
          <t>HB.1</t>
        </is>
      </c>
      <c r="G112" t="inlineStr">
        <is>
          <t>5.02</t>
        </is>
      </c>
      <c r="H112" t="n">
        <v>15</v>
      </c>
      <c r="I112" t="n">
        <v>41.55</v>
      </c>
      <c r="J112" t="n">
        <v>-5.57</v>
      </c>
      <c r="K112" t="n">
        <v>-33.75</v>
      </c>
      <c r="L112">
        <f>ROUND(SQRT((I112-I107)^2+(J112-J107)^2+(K112-K107)^2),2)</f>
        <v/>
      </c>
      <c r="M112" t="inlineStr">
        <is>
          <t>measured</t>
        </is>
      </c>
    </row>
    <row r="113">
      <c r="A113" t="inlineStr">
        <is>
          <t>40C_10RH_chamber</t>
        </is>
      </c>
      <c r="B113" t="inlineStr">
        <is>
          <t>40 C / 10%RH (chamber arm)</t>
        </is>
      </c>
      <c r="C113" t="inlineStr">
        <is>
          <t>measured</t>
        </is>
      </c>
      <c r="D113" t="inlineStr">
        <is>
          <t>Azurite</t>
        </is>
      </c>
      <c r="E113" t="inlineStr">
        <is>
          <t>pedestal</t>
        </is>
      </c>
      <c r="F113" t="inlineStr">
        <is>
          <t>HB.1</t>
        </is>
      </c>
      <c r="G113" t="inlineStr">
        <is>
          <t>5.05</t>
        </is>
      </c>
      <c r="H113" t="n">
        <v>18</v>
      </c>
      <c r="I113" t="n">
        <v>42.21</v>
      </c>
      <c r="J113" t="n">
        <v>-5.71</v>
      </c>
      <c r="K113" t="n">
        <v>-32.1</v>
      </c>
      <c r="L113">
        <f>ROUND(SQRT((I113-I107)^2+(J113-J107)^2+(K113-K107)^2),2)</f>
        <v/>
      </c>
      <c r="M113" t="inlineStr">
        <is>
          <t>measured</t>
        </is>
      </c>
    </row>
    <row r="114">
      <c r="A114" t="inlineStr">
        <is>
          <t>40C_10RH_chamber</t>
        </is>
      </c>
      <c r="B114" t="inlineStr">
        <is>
          <t>40 C / 10%RH (chamber arm)</t>
        </is>
      </c>
      <c r="C114" t="inlineStr">
        <is>
          <t>measured</t>
        </is>
      </c>
      <c r="D114" t="inlineStr">
        <is>
          <t>Azurite</t>
        </is>
      </c>
      <c r="E114" t="inlineStr">
        <is>
          <t>pedestal</t>
        </is>
      </c>
      <c r="F114" t="inlineStr">
        <is>
          <t>HB.1</t>
        </is>
      </c>
      <c r="G114" t="inlineStr">
        <is>
          <t>5.08</t>
        </is>
      </c>
      <c r="H114" t="n">
        <v>21</v>
      </c>
      <c r="I114" t="n">
        <v>40.42</v>
      </c>
      <c r="J114" t="n">
        <v>-5.17</v>
      </c>
      <c r="K114" t="n">
        <v>-32.38</v>
      </c>
      <c r="L114">
        <f>ROUND(SQRT((I114-I107)^2+(J114-J107)^2+(K114-K107)^2),2)</f>
        <v/>
      </c>
      <c r="M114" t="inlineStr">
        <is>
          <t>measured</t>
        </is>
      </c>
    </row>
    <row r="115">
      <c r="A115" t="inlineStr">
        <is>
          <t>40C_10RH_chamber</t>
        </is>
      </c>
      <c r="B115" t="inlineStr">
        <is>
          <t>40 C / 10%RH (chamber arm)</t>
        </is>
      </c>
      <c r="C115" t="inlineStr">
        <is>
          <t>measured</t>
        </is>
      </c>
      <c r="D115" t="inlineStr">
        <is>
          <t>Azurite</t>
        </is>
      </c>
      <c r="E115" t="inlineStr">
        <is>
          <t>pedestal</t>
        </is>
      </c>
      <c r="F115" t="inlineStr">
        <is>
          <t>HB.1</t>
        </is>
      </c>
      <c r="G115" t="inlineStr">
        <is>
          <t>5.11</t>
        </is>
      </c>
      <c r="H115" t="n">
        <v>24</v>
      </c>
      <c r="I115" t="n">
        <v>41.03</v>
      </c>
      <c r="J115" t="n">
        <v>-6.51</v>
      </c>
      <c r="K115" t="n">
        <v>-33.78</v>
      </c>
      <c r="L115">
        <f>ROUND(SQRT((I115-I107)^2+(J115-J107)^2+(K115-K107)^2),2)</f>
        <v/>
      </c>
      <c r="M115" t="inlineStr">
        <is>
          <t>measured</t>
        </is>
      </c>
    </row>
    <row r="116">
      <c r="A116" t="inlineStr">
        <is>
          <t>40C_10RH_chamber</t>
        </is>
      </c>
      <c r="B116" t="inlineStr">
        <is>
          <t>40 C / 10%RH (chamber arm)</t>
        </is>
      </c>
      <c r="C116" t="inlineStr">
        <is>
          <t>measured</t>
        </is>
      </c>
      <c r="D116" t="inlineStr">
        <is>
          <t>Azurite</t>
        </is>
      </c>
      <c r="E116" t="inlineStr">
        <is>
          <t>pedestal</t>
        </is>
      </c>
      <c r="F116" t="inlineStr">
        <is>
          <t>HB.1</t>
        </is>
      </c>
      <c r="G116" t="inlineStr">
        <is>
          <t>5.12</t>
        </is>
      </c>
      <c r="H116" t="n">
        <v>25</v>
      </c>
      <c r="I116" t="n">
        <v>42.41</v>
      </c>
      <c r="J116" t="n">
        <v>-5.37</v>
      </c>
      <c r="K116" t="n">
        <v>-32.67</v>
      </c>
      <c r="L116">
        <f>ROUND(SQRT((I116-I107)^2+(J116-J107)^2+(K116-K107)^2),2)</f>
        <v/>
      </c>
      <c r="M116" t="inlineStr">
        <is>
          <t>measured</t>
        </is>
      </c>
    </row>
    <row r="117">
      <c r="A117" t="inlineStr">
        <is>
          <t>40C_10RH_chamber</t>
        </is>
      </c>
      <c r="B117" t="inlineStr">
        <is>
          <t>40 C / 10%RH (chamber arm)</t>
        </is>
      </c>
      <c r="C117" t="inlineStr">
        <is>
          <t>measured</t>
        </is>
      </c>
      <c r="D117" t="inlineStr">
        <is>
          <t>Azurite</t>
        </is>
      </c>
      <c r="E117" t="inlineStr">
        <is>
          <t>pedestal</t>
        </is>
      </c>
      <c r="F117" t="inlineStr">
        <is>
          <t>HB.1</t>
        </is>
      </c>
      <c r="G117" t="inlineStr">
        <is>
          <t>5.14</t>
        </is>
      </c>
      <c r="H117" t="n">
        <v>27</v>
      </c>
      <c r="I117" t="n">
        <v>42.02</v>
      </c>
      <c r="J117" t="n">
        <v>-4.3</v>
      </c>
      <c r="K117" t="n">
        <v>-32.39</v>
      </c>
      <c r="L117">
        <f>ROUND(SQRT((I117-I107)^2+(J117-J107)^2+(K117-K107)^2),2)</f>
        <v/>
      </c>
      <c r="M117" t="inlineStr">
        <is>
          <t>measured</t>
        </is>
      </c>
    </row>
    <row r="118">
      <c r="A118" t="inlineStr">
        <is>
          <t>40C_10RH_chamber</t>
        </is>
      </c>
      <c r="B118" t="inlineStr">
        <is>
          <t>40 C / 10%RH (chamber arm)</t>
        </is>
      </c>
      <c r="C118" t="inlineStr">
        <is>
          <t>measured</t>
        </is>
      </c>
      <c r="D118" t="inlineStr">
        <is>
          <t>Azurite</t>
        </is>
      </c>
      <c r="E118" t="inlineStr">
        <is>
          <t>pedestal</t>
        </is>
      </c>
      <c r="F118" t="inlineStr">
        <is>
          <t>HB.1</t>
        </is>
      </c>
      <c r="G118" t="inlineStr">
        <is>
          <t>5.18</t>
        </is>
      </c>
      <c r="H118" t="n">
        <v>31</v>
      </c>
      <c r="I118" t="n">
        <v>42.18</v>
      </c>
      <c r="J118" t="n">
        <v>-5.37</v>
      </c>
      <c r="K118" t="n">
        <v>-32.24</v>
      </c>
      <c r="L118">
        <f>ROUND(SQRT((I118-I107)^2+(J118-J107)^2+(K118-K107)^2),2)</f>
        <v/>
      </c>
      <c r="M118" t="inlineStr">
        <is>
          <t>measured</t>
        </is>
      </c>
    </row>
    <row r="119">
      <c r="A119" t="inlineStr">
        <is>
          <t>40C_10RH_chamber</t>
        </is>
      </c>
      <c r="B119" t="inlineStr">
        <is>
          <t>40 C / 10%RH (chamber arm)</t>
        </is>
      </c>
      <c r="C119" t="inlineStr">
        <is>
          <t>measured</t>
        </is>
      </c>
      <c r="D119" t="inlineStr">
        <is>
          <t>Azurite</t>
        </is>
      </c>
      <c r="E119" t="inlineStr">
        <is>
          <t>pedestal</t>
        </is>
      </c>
      <c r="F119" t="inlineStr">
        <is>
          <t>HB.1</t>
        </is>
      </c>
      <c r="G119" t="inlineStr">
        <is>
          <t>5.21</t>
        </is>
      </c>
      <c r="H119" t="n">
        <v>34</v>
      </c>
      <c r="I119" t="n">
        <v>43.24</v>
      </c>
      <c r="J119" t="n">
        <v>-6</v>
      </c>
      <c r="K119" t="n">
        <v>-32.49</v>
      </c>
      <c r="L119">
        <f>ROUND(SQRT((I119-I107)^2+(J119-J107)^2+(K119-K107)^2),2)</f>
        <v/>
      </c>
      <c r="M119" t="inlineStr">
        <is>
          <t>measured</t>
        </is>
      </c>
    </row>
    <row r="120">
      <c r="A120" t="inlineStr">
        <is>
          <t>40C_10RH_chamber</t>
        </is>
      </c>
      <c r="B120" t="inlineStr">
        <is>
          <t>40 C / 10%RH (chamber arm)</t>
        </is>
      </c>
      <c r="C120" t="inlineStr">
        <is>
          <t>measured</t>
        </is>
      </c>
      <c r="D120" t="inlineStr">
        <is>
          <t>Azurite</t>
        </is>
      </c>
      <c r="E120" t="inlineStr">
        <is>
          <t>pedestal</t>
        </is>
      </c>
      <c r="F120" t="inlineStr">
        <is>
          <t>HB.1</t>
        </is>
      </c>
      <c r="G120" t="inlineStr">
        <is>
          <t>5.24</t>
        </is>
      </c>
      <c r="H120" t="n">
        <v>37</v>
      </c>
      <c r="I120" t="n">
        <v>42.31</v>
      </c>
      <c r="J120" t="n">
        <v>-6.12</v>
      </c>
      <c r="K120" t="n">
        <v>-32.4</v>
      </c>
      <c r="L120">
        <f>ROUND(SQRT((I120-I107)^2+(J120-J107)^2+(K120-K107)^2),2)</f>
        <v/>
      </c>
      <c r="M120" t="inlineStr">
        <is>
          <t>measured</t>
        </is>
      </c>
    </row>
    <row r="121">
      <c r="A121" t="inlineStr">
        <is>
          <t>40C_10RH_chamber</t>
        </is>
      </c>
      <c r="B121" t="inlineStr">
        <is>
          <t>40 C / 10%RH (chamber arm)</t>
        </is>
      </c>
      <c r="C121" t="inlineStr">
        <is>
          <t>measured</t>
        </is>
      </c>
      <c r="D121" t="inlineStr">
        <is>
          <t>Azurite</t>
        </is>
      </c>
      <c r="E121" t="inlineStr">
        <is>
          <t>pedestal</t>
        </is>
      </c>
      <c r="F121" t="inlineStr">
        <is>
          <t>HB.1</t>
        </is>
      </c>
      <c r="G121" t="inlineStr">
        <is>
          <t>5.28</t>
        </is>
      </c>
      <c r="H121" t="n">
        <v>41</v>
      </c>
      <c r="I121" t="n">
        <v>42.51</v>
      </c>
      <c r="J121" t="n">
        <v>-6.11</v>
      </c>
      <c r="K121" t="n">
        <v>-31.56</v>
      </c>
      <c r="L121">
        <f>ROUND(SQRT((I121-I107)^2+(J121-J107)^2+(K121-K107)^2),2)</f>
        <v/>
      </c>
      <c r="M121" t="inlineStr">
        <is>
          <t>measured</t>
        </is>
      </c>
    </row>
    <row r="122">
      <c r="A122" t="inlineStr">
        <is>
          <t>40C_10RH_chamber</t>
        </is>
      </c>
      <c r="B122" t="inlineStr">
        <is>
          <t>40 C / 10%RH (chamber arm)</t>
        </is>
      </c>
      <c r="C122" t="inlineStr">
        <is>
          <t>measured</t>
        </is>
      </c>
      <c r="D122" t="inlineStr">
        <is>
          <t>Azurite</t>
        </is>
      </c>
      <c r="E122" t="inlineStr">
        <is>
          <t>pedestal</t>
        </is>
      </c>
      <c r="F122" t="inlineStr">
        <is>
          <t>HB.1</t>
        </is>
      </c>
      <c r="G122" t="inlineStr">
        <is>
          <t>5.31</t>
        </is>
      </c>
      <c r="H122" t="n">
        <v>44</v>
      </c>
      <c r="I122" t="n">
        <v>43.99</v>
      </c>
      <c r="J122" t="n">
        <v>-6.03</v>
      </c>
      <c r="K122" t="n">
        <v>-31.72</v>
      </c>
      <c r="L122">
        <f>ROUND(SQRT((I122-I107)^2+(J122-J107)^2+(K122-K107)^2),2)</f>
        <v/>
      </c>
      <c r="M122" t="inlineStr">
        <is>
          <t>measured</t>
        </is>
      </c>
    </row>
    <row r="123">
      <c r="A123" t="inlineStr">
        <is>
          <t>40C_10RH_chamber</t>
        </is>
      </c>
      <c r="B123" t="inlineStr">
        <is>
          <t>40 C / 10%RH (chamber arm)</t>
        </is>
      </c>
      <c r="C123" t="inlineStr">
        <is>
          <t>measured</t>
        </is>
      </c>
      <c r="D123" t="inlineStr">
        <is>
          <t>Azurite</t>
        </is>
      </c>
      <c r="E123" t="inlineStr">
        <is>
          <t>pedestal</t>
        </is>
      </c>
      <c r="F123" t="inlineStr">
        <is>
          <t>HB.1</t>
        </is>
      </c>
      <c r="G123" t="inlineStr">
        <is>
          <t>6.03</t>
        </is>
      </c>
      <c r="H123" t="n">
        <v>47</v>
      </c>
      <c r="I123" t="n">
        <v>41.99</v>
      </c>
      <c r="J123" t="n">
        <v>-6.16</v>
      </c>
      <c r="K123" t="n">
        <v>-34.57</v>
      </c>
      <c r="L123">
        <f>ROUND(SQRT((I123-I107)^2+(J123-J107)^2+(K123-K107)^2),2)</f>
        <v/>
      </c>
      <c r="M123" t="inlineStr">
        <is>
          <t>measured</t>
        </is>
      </c>
    </row>
    <row r="124">
      <c r="A124" t="inlineStr">
        <is>
          <t>40C_10RH_chamber</t>
        </is>
      </c>
      <c r="B124" t="inlineStr">
        <is>
          <t>40 C / 10%RH (chamber arm)</t>
        </is>
      </c>
      <c r="C124" t="inlineStr">
        <is>
          <t>measured</t>
        </is>
      </c>
      <c r="D124" t="inlineStr">
        <is>
          <t>Azurite</t>
        </is>
      </c>
      <c r="E124" t="inlineStr">
        <is>
          <t>pedestal</t>
        </is>
      </c>
      <c r="F124" t="inlineStr">
        <is>
          <t>HB.1</t>
        </is>
      </c>
      <c r="G124" t="inlineStr">
        <is>
          <t>6.06</t>
        </is>
      </c>
      <c r="H124" t="n">
        <v>50</v>
      </c>
      <c r="I124" t="n">
        <v>41.63</v>
      </c>
      <c r="J124" t="n">
        <v>-5.29</v>
      </c>
      <c r="K124" t="n">
        <v>-32.77</v>
      </c>
      <c r="L124">
        <f>ROUND(SQRT((I124-I107)^2+(J124-J107)^2+(K124-K107)^2),2)</f>
        <v/>
      </c>
      <c r="M124" t="inlineStr">
        <is>
          <t>measured</t>
        </is>
      </c>
    </row>
    <row r="125">
      <c r="A125" t="inlineStr">
        <is>
          <t>40C_10RH_chamber</t>
        </is>
      </c>
      <c r="B125" t="inlineStr">
        <is>
          <t>40 C / 10%RH (chamber arm)</t>
        </is>
      </c>
      <c r="C125" t="inlineStr">
        <is>
          <t>measured</t>
        </is>
      </c>
      <c r="D125" t="inlineStr">
        <is>
          <t>Azurite</t>
        </is>
      </c>
      <c r="E125" t="inlineStr">
        <is>
          <t>pedestal</t>
        </is>
      </c>
      <c r="F125" t="inlineStr">
        <is>
          <t>HB.1</t>
        </is>
      </c>
      <c r="G125" t="inlineStr">
        <is>
          <t>6.09</t>
        </is>
      </c>
      <c r="H125" t="n">
        <v>53</v>
      </c>
      <c r="I125" t="n">
        <v>42.53</v>
      </c>
      <c r="J125" t="n">
        <v>-7.18</v>
      </c>
      <c r="K125" t="n">
        <v>-32.65</v>
      </c>
      <c r="L125">
        <f>ROUND(SQRT((I125-I107)^2+(J125-J107)^2+(K125-K107)^2),2)</f>
        <v/>
      </c>
      <c r="M125" t="inlineStr">
        <is>
          <t>measured</t>
        </is>
      </c>
    </row>
    <row r="126">
      <c r="A126" t="inlineStr">
        <is>
          <t>40C_10RH_chamber</t>
        </is>
      </c>
      <c r="B126" t="inlineStr">
        <is>
          <t>40 C / 10%RH (chamber arm)</t>
        </is>
      </c>
      <c r="C126" t="inlineStr">
        <is>
          <t>measured</t>
        </is>
      </c>
      <c r="D126" t="inlineStr">
        <is>
          <t>Azurite</t>
        </is>
      </c>
      <c r="E126" t="inlineStr">
        <is>
          <t>pedestal</t>
        </is>
      </c>
      <c r="F126" t="inlineStr">
        <is>
          <t>HB.1</t>
        </is>
      </c>
      <c r="G126" t="inlineStr">
        <is>
          <t>6.13</t>
        </is>
      </c>
      <c r="H126" t="n">
        <v>57</v>
      </c>
      <c r="I126" t="n">
        <v>42.6</v>
      </c>
      <c r="J126" t="n">
        <v>-5.42</v>
      </c>
      <c r="K126" t="n">
        <v>-33.75</v>
      </c>
      <c r="L126">
        <f>ROUND(SQRT((I126-I107)^2+(J126-J107)^2+(K126-K107)^2),2)</f>
        <v/>
      </c>
      <c r="M126" t="inlineStr">
        <is>
          <t>measured</t>
        </is>
      </c>
    </row>
    <row r="127">
      <c r="A127" t="inlineStr">
        <is>
          <t>40C_10RH_chamber</t>
        </is>
      </c>
      <c r="B127" t="inlineStr">
        <is>
          <t>40 C / 10%RH (chamber arm)</t>
        </is>
      </c>
      <c r="C127" t="inlineStr">
        <is>
          <t>measured</t>
        </is>
      </c>
      <c r="D127" t="inlineStr">
        <is>
          <t>Azurite</t>
        </is>
      </c>
      <c r="E127" t="inlineStr">
        <is>
          <t>pedestal</t>
        </is>
      </c>
      <c r="F127" t="inlineStr">
        <is>
          <t>HB.1</t>
        </is>
      </c>
      <c r="G127" t="inlineStr">
        <is>
          <t>6.17</t>
        </is>
      </c>
      <c r="H127" t="n">
        <v>61</v>
      </c>
      <c r="I127" t="n">
        <v>41.99</v>
      </c>
      <c r="J127" t="n">
        <v>-6.33</v>
      </c>
      <c r="K127" t="n">
        <v>-32.44</v>
      </c>
      <c r="L127">
        <f>ROUND(SQRT((I127-I107)^2+(J127-J107)^2+(K127-K107)^2),2)</f>
        <v/>
      </c>
      <c r="M127" t="inlineStr">
        <is>
          <t>measured</t>
        </is>
      </c>
    </row>
    <row r="128">
      <c r="A128" t="inlineStr">
        <is>
          <t>40C_10RH_chamber</t>
        </is>
      </c>
      <c r="B128" t="inlineStr">
        <is>
          <t>40 C / 10%RH (chamber arm)</t>
        </is>
      </c>
      <c r="C128" t="inlineStr">
        <is>
          <t>measured</t>
        </is>
      </c>
      <c r="D128" t="inlineStr">
        <is>
          <t>Azurite</t>
        </is>
      </c>
      <c r="E128" t="inlineStr">
        <is>
          <t>pedestal</t>
        </is>
      </c>
      <c r="F128" t="inlineStr">
        <is>
          <t>HB.2</t>
        </is>
      </c>
      <c r="G128" t="inlineStr">
        <is>
          <t>4.17</t>
        </is>
      </c>
      <c r="H128" t="n">
        <v>0</v>
      </c>
      <c r="I128" t="n">
        <v>40.51</v>
      </c>
      <c r="J128" t="n">
        <v>-4.94</v>
      </c>
      <c r="K128" t="n">
        <v>-33.11</v>
      </c>
      <c r="L128" t="n">
        <v>0</v>
      </c>
      <c r="M128" t="inlineStr">
        <is>
          <t>measured</t>
        </is>
      </c>
    </row>
    <row r="129">
      <c r="A129" t="inlineStr">
        <is>
          <t>40C_10RH_chamber</t>
        </is>
      </c>
      <c r="B129" t="inlineStr">
        <is>
          <t>40 C / 10%RH (chamber arm)</t>
        </is>
      </c>
      <c r="C129" t="inlineStr">
        <is>
          <t>measured</t>
        </is>
      </c>
      <c r="D129" t="inlineStr">
        <is>
          <t>Azurite</t>
        </is>
      </c>
      <c r="E129" t="inlineStr">
        <is>
          <t>pedestal</t>
        </is>
      </c>
      <c r="F129" t="inlineStr">
        <is>
          <t>HB.2</t>
        </is>
      </c>
      <c r="G129" t="inlineStr">
        <is>
          <t>4.20</t>
        </is>
      </c>
      <c r="H129" t="n">
        <v>3</v>
      </c>
      <c r="I129" t="n">
        <v>39.8</v>
      </c>
      <c r="J129" t="n">
        <v>-4.96</v>
      </c>
      <c r="K129" t="n">
        <v>-32.61</v>
      </c>
      <c r="L129">
        <f>ROUND(SQRT((I129-I128)^2+(J129-J128)^2+(K129-K128)^2),2)</f>
        <v/>
      </c>
      <c r="M129" t="inlineStr">
        <is>
          <t>measured</t>
        </is>
      </c>
    </row>
    <row r="130">
      <c r="A130" t="inlineStr">
        <is>
          <t>40C_10RH_chamber</t>
        </is>
      </c>
      <c r="B130" t="inlineStr">
        <is>
          <t>40 C / 10%RH (chamber arm)</t>
        </is>
      </c>
      <c r="C130" t="inlineStr">
        <is>
          <t>measured</t>
        </is>
      </c>
      <c r="D130" t="inlineStr">
        <is>
          <t>Azurite</t>
        </is>
      </c>
      <c r="E130" t="inlineStr">
        <is>
          <t>pedestal</t>
        </is>
      </c>
      <c r="F130" t="inlineStr">
        <is>
          <t>HB.2</t>
        </is>
      </c>
      <c r="G130" t="inlineStr">
        <is>
          <t>4.23</t>
        </is>
      </c>
      <c r="H130" t="n">
        <v>6</v>
      </c>
      <c r="I130" t="n">
        <v>40.86</v>
      </c>
      <c r="J130" t="n">
        <v>-4.62</v>
      </c>
      <c r="K130" t="n">
        <v>-33.35</v>
      </c>
      <c r="L130">
        <f>ROUND(SQRT((I130-I128)^2+(J130-J128)^2+(K130-K128)^2),2)</f>
        <v/>
      </c>
      <c r="M130" t="inlineStr">
        <is>
          <t>measured</t>
        </is>
      </c>
    </row>
    <row r="131">
      <c r="A131" t="inlineStr">
        <is>
          <t>40C_10RH_chamber</t>
        </is>
      </c>
      <c r="B131" t="inlineStr">
        <is>
          <t>40 C / 10%RH (chamber arm)</t>
        </is>
      </c>
      <c r="C131" t="inlineStr">
        <is>
          <t>measured</t>
        </is>
      </c>
      <c r="D131" t="inlineStr">
        <is>
          <t>Azurite</t>
        </is>
      </c>
      <c r="E131" t="inlineStr">
        <is>
          <t>pedestal</t>
        </is>
      </c>
      <c r="F131" t="inlineStr">
        <is>
          <t>HB.2</t>
        </is>
      </c>
      <c r="G131" t="inlineStr">
        <is>
          <t>4.26</t>
        </is>
      </c>
      <c r="H131" t="n">
        <v>9</v>
      </c>
      <c r="I131" t="n">
        <v>40.03</v>
      </c>
      <c r="J131" t="n">
        <v>-5.29</v>
      </c>
      <c r="K131" t="n">
        <v>-33.83</v>
      </c>
      <c r="L131">
        <f>ROUND(SQRT((I131-I128)^2+(J131-J128)^2+(K131-K128)^2),2)</f>
        <v/>
      </c>
      <c r="M131" t="inlineStr">
        <is>
          <t>measured</t>
        </is>
      </c>
    </row>
    <row r="132">
      <c r="A132" t="inlineStr">
        <is>
          <t>40C_10RH_chamber</t>
        </is>
      </c>
      <c r="B132" t="inlineStr">
        <is>
          <t>40 C / 10%RH (chamber arm)</t>
        </is>
      </c>
      <c r="C132" t="inlineStr">
        <is>
          <t>measured</t>
        </is>
      </c>
      <c r="D132" t="inlineStr">
        <is>
          <t>Azurite</t>
        </is>
      </c>
      <c r="E132" t="inlineStr">
        <is>
          <t>pedestal</t>
        </is>
      </c>
      <c r="F132" t="inlineStr">
        <is>
          <t>HB.2</t>
        </is>
      </c>
      <c r="G132" t="inlineStr">
        <is>
          <t>4.29</t>
        </is>
      </c>
      <c r="H132" t="n">
        <v>12</v>
      </c>
      <c r="I132" t="n">
        <v>40.26</v>
      </c>
      <c r="J132" t="n">
        <v>-3.45</v>
      </c>
      <c r="K132" t="n">
        <v>-33.81</v>
      </c>
      <c r="L132">
        <f>ROUND(SQRT((I132-I128)^2+(J132-J128)^2+(K132-K128)^2),2)</f>
        <v/>
      </c>
      <c r="M132" t="inlineStr">
        <is>
          <t>measured</t>
        </is>
      </c>
    </row>
    <row r="133">
      <c r="A133" t="inlineStr">
        <is>
          <t>40C_10RH_chamber</t>
        </is>
      </c>
      <c r="B133" t="inlineStr">
        <is>
          <t>40 C / 10%RH (chamber arm)</t>
        </is>
      </c>
      <c r="C133" t="inlineStr">
        <is>
          <t>measured</t>
        </is>
      </c>
      <c r="D133" t="inlineStr">
        <is>
          <t>Azurite</t>
        </is>
      </c>
      <c r="E133" t="inlineStr">
        <is>
          <t>pedestal</t>
        </is>
      </c>
      <c r="F133" t="inlineStr">
        <is>
          <t>HB.2</t>
        </is>
      </c>
      <c r="G133" t="inlineStr">
        <is>
          <t>5.02</t>
        </is>
      </c>
      <c r="H133" t="n">
        <v>15</v>
      </c>
      <c r="I133" t="n">
        <v>41.82</v>
      </c>
      <c r="J133" t="n">
        <v>-6.12</v>
      </c>
      <c r="K133" t="n">
        <v>-34.37</v>
      </c>
      <c r="L133">
        <f>ROUND(SQRT((I133-I128)^2+(J133-J128)^2+(K133-K128)^2),2)</f>
        <v/>
      </c>
      <c r="M133" t="inlineStr">
        <is>
          <t>measured</t>
        </is>
      </c>
    </row>
    <row r="134">
      <c r="A134" t="inlineStr">
        <is>
          <t>40C_10RH_chamber</t>
        </is>
      </c>
      <c r="B134" t="inlineStr">
        <is>
          <t>40 C / 10%RH (chamber arm)</t>
        </is>
      </c>
      <c r="C134" t="inlineStr">
        <is>
          <t>measured</t>
        </is>
      </c>
      <c r="D134" t="inlineStr">
        <is>
          <t>Azurite</t>
        </is>
      </c>
      <c r="E134" t="inlineStr">
        <is>
          <t>pedestal</t>
        </is>
      </c>
      <c r="F134" t="inlineStr">
        <is>
          <t>HB.2</t>
        </is>
      </c>
      <c r="G134" t="inlineStr">
        <is>
          <t>5.05</t>
        </is>
      </c>
      <c r="H134" t="n">
        <v>18</v>
      </c>
      <c r="I134" t="n">
        <v>40.46</v>
      </c>
      <c r="J134" t="n">
        <v>-4.16</v>
      </c>
      <c r="K134" t="n">
        <v>-33.08</v>
      </c>
      <c r="L134">
        <f>ROUND(SQRT((I134-I128)^2+(J134-J128)^2+(K134-K128)^2),2)</f>
        <v/>
      </c>
      <c r="M134" t="inlineStr">
        <is>
          <t>measured</t>
        </is>
      </c>
    </row>
    <row r="135">
      <c r="A135" t="inlineStr">
        <is>
          <t>40C_10RH_chamber</t>
        </is>
      </c>
      <c r="B135" t="inlineStr">
        <is>
          <t>40 C / 10%RH (chamber arm)</t>
        </is>
      </c>
      <c r="C135" t="inlineStr">
        <is>
          <t>measured</t>
        </is>
      </c>
      <c r="D135" t="inlineStr">
        <is>
          <t>Azurite</t>
        </is>
      </c>
      <c r="E135" t="inlineStr">
        <is>
          <t>pedestal</t>
        </is>
      </c>
      <c r="F135" t="inlineStr">
        <is>
          <t>HB.2</t>
        </is>
      </c>
      <c r="G135" t="inlineStr">
        <is>
          <t>5.08</t>
        </is>
      </c>
      <c r="H135" t="n">
        <v>21</v>
      </c>
      <c r="I135" t="n">
        <v>41.22</v>
      </c>
      <c r="J135" t="n">
        <v>-4.1</v>
      </c>
      <c r="K135" t="n">
        <v>-33.33</v>
      </c>
      <c r="L135">
        <f>ROUND(SQRT((I135-I128)^2+(J135-J128)^2+(K135-K128)^2),2)</f>
        <v/>
      </c>
      <c r="M135" t="inlineStr">
        <is>
          <t>measured</t>
        </is>
      </c>
    </row>
    <row r="136">
      <c r="A136" t="inlineStr">
        <is>
          <t>40C_10RH_chamber</t>
        </is>
      </c>
      <c r="B136" t="inlineStr">
        <is>
          <t>40 C / 10%RH (chamber arm)</t>
        </is>
      </c>
      <c r="C136" t="inlineStr">
        <is>
          <t>measured</t>
        </is>
      </c>
      <c r="D136" t="inlineStr">
        <is>
          <t>Azurite</t>
        </is>
      </c>
      <c r="E136" t="inlineStr">
        <is>
          <t>pedestal</t>
        </is>
      </c>
      <c r="F136" t="inlineStr">
        <is>
          <t>HB.2</t>
        </is>
      </c>
      <c r="G136" t="inlineStr">
        <is>
          <t>5.11</t>
        </is>
      </c>
      <c r="H136" t="n">
        <v>24</v>
      </c>
      <c r="I136" t="n">
        <v>39.64</v>
      </c>
      <c r="J136" t="n">
        <v>-5.68</v>
      </c>
      <c r="K136" t="n">
        <v>-33.6</v>
      </c>
      <c r="L136">
        <f>ROUND(SQRT((I136-I128)^2+(J136-J128)^2+(K136-K128)^2),2)</f>
        <v/>
      </c>
      <c r="M136" t="inlineStr">
        <is>
          <t>measured</t>
        </is>
      </c>
    </row>
    <row r="137">
      <c r="A137" t="inlineStr">
        <is>
          <t>40C_10RH_chamber</t>
        </is>
      </c>
      <c r="B137" t="inlineStr">
        <is>
          <t>40 C / 10%RH (chamber arm)</t>
        </is>
      </c>
      <c r="C137" t="inlineStr">
        <is>
          <t>measured</t>
        </is>
      </c>
      <c r="D137" t="inlineStr">
        <is>
          <t>Azurite</t>
        </is>
      </c>
      <c r="E137" t="inlineStr">
        <is>
          <t>pedestal</t>
        </is>
      </c>
      <c r="F137" t="inlineStr">
        <is>
          <t>HB.2</t>
        </is>
      </c>
      <c r="G137" t="inlineStr">
        <is>
          <t>5.12</t>
        </is>
      </c>
      <c r="H137" t="n">
        <v>25</v>
      </c>
      <c r="I137" t="n">
        <v>42.27</v>
      </c>
      <c r="J137" t="n">
        <v>-3.52</v>
      </c>
      <c r="K137" t="n">
        <v>-35.37</v>
      </c>
      <c r="L137">
        <f>ROUND(SQRT((I137-I128)^2+(J137-J128)^2+(K137-K128)^2),2)</f>
        <v/>
      </c>
      <c r="M137" t="inlineStr">
        <is>
          <t>measured</t>
        </is>
      </c>
    </row>
    <row r="138">
      <c r="A138" t="inlineStr">
        <is>
          <t>40C_10RH_chamber</t>
        </is>
      </c>
      <c r="B138" t="inlineStr">
        <is>
          <t>40 C / 10%RH (chamber arm)</t>
        </is>
      </c>
      <c r="C138" t="inlineStr">
        <is>
          <t>measured</t>
        </is>
      </c>
      <c r="D138" t="inlineStr">
        <is>
          <t>Azurite</t>
        </is>
      </c>
      <c r="E138" t="inlineStr">
        <is>
          <t>pedestal</t>
        </is>
      </c>
      <c r="F138" t="inlineStr">
        <is>
          <t>HB.2</t>
        </is>
      </c>
      <c r="G138" t="inlineStr">
        <is>
          <t>5.14</t>
        </is>
      </c>
      <c r="H138" t="n">
        <v>27</v>
      </c>
      <c r="I138" t="n">
        <v>41.43</v>
      </c>
      <c r="J138" t="n">
        <v>-4.4</v>
      </c>
      <c r="K138" t="n">
        <v>-34.19</v>
      </c>
      <c r="L138">
        <f>ROUND(SQRT((I138-I128)^2+(J138-J128)^2+(K138-K128)^2),2)</f>
        <v/>
      </c>
      <c r="M138" t="inlineStr">
        <is>
          <t>measured</t>
        </is>
      </c>
    </row>
    <row r="139">
      <c r="A139" t="inlineStr">
        <is>
          <t>40C_10RH_chamber</t>
        </is>
      </c>
      <c r="B139" t="inlineStr">
        <is>
          <t>40 C / 10%RH (chamber arm)</t>
        </is>
      </c>
      <c r="C139" t="inlineStr">
        <is>
          <t>measured</t>
        </is>
      </c>
      <c r="D139" t="inlineStr">
        <is>
          <t>Azurite</t>
        </is>
      </c>
      <c r="E139" t="inlineStr">
        <is>
          <t>pedestal</t>
        </is>
      </c>
      <c r="F139" t="inlineStr">
        <is>
          <t>HB.2</t>
        </is>
      </c>
      <c r="G139" t="inlineStr">
        <is>
          <t>5.18</t>
        </is>
      </c>
      <c r="H139" t="n">
        <v>31</v>
      </c>
      <c r="I139" t="n">
        <v>40.95</v>
      </c>
      <c r="J139" t="n">
        <v>-4.44</v>
      </c>
      <c r="K139" t="n">
        <v>-32.56</v>
      </c>
      <c r="L139">
        <f>ROUND(SQRT((I139-I128)^2+(J139-J128)^2+(K139-K128)^2),2)</f>
        <v/>
      </c>
      <c r="M139" t="inlineStr">
        <is>
          <t>measured</t>
        </is>
      </c>
    </row>
    <row r="140">
      <c r="A140" t="inlineStr">
        <is>
          <t>40C_10RH_chamber</t>
        </is>
      </c>
      <c r="B140" t="inlineStr">
        <is>
          <t>40 C / 10%RH (chamber arm)</t>
        </is>
      </c>
      <c r="C140" t="inlineStr">
        <is>
          <t>measured</t>
        </is>
      </c>
      <c r="D140" t="inlineStr">
        <is>
          <t>Azurite</t>
        </is>
      </c>
      <c r="E140" t="inlineStr">
        <is>
          <t>pedestal</t>
        </is>
      </c>
      <c r="F140" t="inlineStr">
        <is>
          <t>HB.2</t>
        </is>
      </c>
      <c r="G140" t="inlineStr">
        <is>
          <t>5.21</t>
        </is>
      </c>
      <c r="H140" t="n">
        <v>34</v>
      </c>
      <c r="I140" t="n">
        <v>41.54</v>
      </c>
      <c r="J140" t="n">
        <v>-5.12</v>
      </c>
      <c r="K140" t="n">
        <v>-33.83</v>
      </c>
      <c r="L140">
        <f>ROUND(SQRT((I140-I128)^2+(J140-J128)^2+(K140-K128)^2),2)</f>
        <v/>
      </c>
      <c r="M140" t="inlineStr">
        <is>
          <t>measured</t>
        </is>
      </c>
    </row>
    <row r="141">
      <c r="A141" t="inlineStr">
        <is>
          <t>40C_10RH_chamber</t>
        </is>
      </c>
      <c r="B141" t="inlineStr">
        <is>
          <t>40 C / 10%RH (chamber arm)</t>
        </is>
      </c>
      <c r="C141" t="inlineStr">
        <is>
          <t>measured</t>
        </is>
      </c>
      <c r="D141" t="inlineStr">
        <is>
          <t>Azurite</t>
        </is>
      </c>
      <c r="E141" t="inlineStr">
        <is>
          <t>pedestal</t>
        </is>
      </c>
      <c r="F141" t="inlineStr">
        <is>
          <t>HB.2</t>
        </is>
      </c>
      <c r="G141" t="inlineStr">
        <is>
          <t>5.24</t>
        </is>
      </c>
      <c r="H141" t="n">
        <v>37</v>
      </c>
      <c r="I141" t="n">
        <v>40.2</v>
      </c>
      <c r="J141" t="n">
        <v>-5.31</v>
      </c>
      <c r="K141" t="n">
        <v>-33.14</v>
      </c>
      <c r="L141">
        <f>ROUND(SQRT((I141-I128)^2+(J141-J128)^2+(K141-K128)^2),2)</f>
        <v/>
      </c>
      <c r="M141" t="inlineStr">
        <is>
          <t>measured</t>
        </is>
      </c>
    </row>
    <row r="142">
      <c r="A142" t="inlineStr">
        <is>
          <t>40C_10RH_chamber</t>
        </is>
      </c>
      <c r="B142" t="inlineStr">
        <is>
          <t>40 C / 10%RH (chamber arm)</t>
        </is>
      </c>
      <c r="C142" t="inlineStr">
        <is>
          <t>measured</t>
        </is>
      </c>
      <c r="D142" t="inlineStr">
        <is>
          <t>Azurite</t>
        </is>
      </c>
      <c r="E142" t="inlineStr">
        <is>
          <t>pedestal</t>
        </is>
      </c>
      <c r="F142" t="inlineStr">
        <is>
          <t>HB.2</t>
        </is>
      </c>
      <c r="G142" t="inlineStr">
        <is>
          <t>5.28</t>
        </is>
      </c>
      <c r="H142" t="n">
        <v>41</v>
      </c>
      <c r="I142" t="n">
        <v>42.09</v>
      </c>
      <c r="J142" t="n">
        <v>-5.32</v>
      </c>
      <c r="K142" t="n">
        <v>-34.4</v>
      </c>
      <c r="L142">
        <f>ROUND(SQRT((I142-I128)^2+(J142-J128)^2+(K142-K128)^2),2)</f>
        <v/>
      </c>
      <c r="M142" t="inlineStr">
        <is>
          <t>measured</t>
        </is>
      </c>
    </row>
    <row r="143">
      <c r="A143" t="inlineStr">
        <is>
          <t>40C_10RH_chamber</t>
        </is>
      </c>
      <c r="B143" t="inlineStr">
        <is>
          <t>40 C / 10%RH (chamber arm)</t>
        </is>
      </c>
      <c r="C143" t="inlineStr">
        <is>
          <t>measured</t>
        </is>
      </c>
      <c r="D143" t="inlineStr">
        <is>
          <t>Azurite</t>
        </is>
      </c>
      <c r="E143" t="inlineStr">
        <is>
          <t>pedestal</t>
        </is>
      </c>
      <c r="F143" t="inlineStr">
        <is>
          <t>HB.2</t>
        </is>
      </c>
      <c r="G143" t="inlineStr">
        <is>
          <t>5.31</t>
        </is>
      </c>
      <c r="H143" t="n">
        <v>44</v>
      </c>
      <c r="I143" t="n">
        <v>41.09</v>
      </c>
      <c r="J143" t="n">
        <v>-4.92</v>
      </c>
      <c r="K143" t="n">
        <v>-32.44</v>
      </c>
      <c r="L143">
        <f>ROUND(SQRT((I143-I128)^2+(J143-J128)^2+(K143-K128)^2),2)</f>
        <v/>
      </c>
      <c r="M143" t="inlineStr">
        <is>
          <t>measured</t>
        </is>
      </c>
    </row>
    <row r="144">
      <c r="A144" t="inlineStr">
        <is>
          <t>40C_10RH_chamber</t>
        </is>
      </c>
      <c r="B144" t="inlineStr">
        <is>
          <t>40 C / 10%RH (chamber arm)</t>
        </is>
      </c>
      <c r="C144" t="inlineStr">
        <is>
          <t>measured</t>
        </is>
      </c>
      <c r="D144" t="inlineStr">
        <is>
          <t>Azurite</t>
        </is>
      </c>
      <c r="E144" t="inlineStr">
        <is>
          <t>pedestal</t>
        </is>
      </c>
      <c r="F144" t="inlineStr">
        <is>
          <t>HB.2</t>
        </is>
      </c>
      <c r="G144" t="inlineStr">
        <is>
          <t>6.03</t>
        </is>
      </c>
      <c r="H144" t="n">
        <v>47</v>
      </c>
      <c r="I144" t="n">
        <v>41.23</v>
      </c>
      <c r="J144" t="n">
        <v>-4.23</v>
      </c>
      <c r="K144" t="n">
        <v>-33.57</v>
      </c>
      <c r="L144">
        <f>ROUND(SQRT((I144-I128)^2+(J144-J128)^2+(K144-K128)^2),2)</f>
        <v/>
      </c>
      <c r="M144" t="inlineStr">
        <is>
          <t>measured</t>
        </is>
      </c>
    </row>
    <row r="145">
      <c r="A145" t="inlineStr">
        <is>
          <t>40C_10RH_chamber</t>
        </is>
      </c>
      <c r="B145" t="inlineStr">
        <is>
          <t>40 C / 10%RH (chamber arm)</t>
        </is>
      </c>
      <c r="C145" t="inlineStr">
        <is>
          <t>measured</t>
        </is>
      </c>
      <c r="D145" t="inlineStr">
        <is>
          <t>Azurite</t>
        </is>
      </c>
      <c r="E145" t="inlineStr">
        <is>
          <t>pedestal</t>
        </is>
      </c>
      <c r="F145" t="inlineStr">
        <is>
          <t>HB.2</t>
        </is>
      </c>
      <c r="G145" t="inlineStr">
        <is>
          <t>6.06</t>
        </is>
      </c>
      <c r="H145" t="n">
        <v>50</v>
      </c>
      <c r="I145" t="n">
        <v>41.08</v>
      </c>
      <c r="J145" t="n">
        <v>-5.1</v>
      </c>
      <c r="K145" t="n">
        <v>-33.29</v>
      </c>
      <c r="L145">
        <f>ROUND(SQRT((I145-I128)^2+(J145-J128)^2+(K145-K128)^2),2)</f>
        <v/>
      </c>
      <c r="M145" t="inlineStr">
        <is>
          <t>measured</t>
        </is>
      </c>
    </row>
    <row r="146">
      <c r="A146" t="inlineStr">
        <is>
          <t>40C_10RH_chamber</t>
        </is>
      </c>
      <c r="B146" t="inlineStr">
        <is>
          <t>40 C / 10%RH (chamber arm)</t>
        </is>
      </c>
      <c r="C146" t="inlineStr">
        <is>
          <t>measured</t>
        </is>
      </c>
      <c r="D146" t="inlineStr">
        <is>
          <t>Azurite</t>
        </is>
      </c>
      <c r="E146" t="inlineStr">
        <is>
          <t>pedestal</t>
        </is>
      </c>
      <c r="F146" t="inlineStr">
        <is>
          <t>HB.2</t>
        </is>
      </c>
      <c r="G146" t="inlineStr">
        <is>
          <t>6.09</t>
        </is>
      </c>
      <c r="H146" t="n">
        <v>53</v>
      </c>
      <c r="I146" t="n">
        <v>41.07</v>
      </c>
      <c r="J146" t="n">
        <v>-5.88</v>
      </c>
      <c r="K146" t="n">
        <v>-31.88</v>
      </c>
      <c r="L146">
        <f>ROUND(SQRT((I146-I128)^2+(J146-J128)^2+(K146-K128)^2),2)</f>
        <v/>
      </c>
      <c r="M146" t="inlineStr">
        <is>
          <t>measured</t>
        </is>
      </c>
    </row>
    <row r="147">
      <c r="A147" t="inlineStr">
        <is>
          <t>40C_10RH_chamber</t>
        </is>
      </c>
      <c r="B147" t="inlineStr">
        <is>
          <t>40 C / 10%RH (chamber arm)</t>
        </is>
      </c>
      <c r="C147" t="inlineStr">
        <is>
          <t>measured</t>
        </is>
      </c>
      <c r="D147" t="inlineStr">
        <is>
          <t>Azurite</t>
        </is>
      </c>
      <c r="E147" t="inlineStr">
        <is>
          <t>pedestal</t>
        </is>
      </c>
      <c r="F147" t="inlineStr">
        <is>
          <t>HB.2</t>
        </is>
      </c>
      <c r="G147" t="inlineStr">
        <is>
          <t>6.13</t>
        </is>
      </c>
      <c r="H147" t="n">
        <v>57</v>
      </c>
      <c r="I147" t="n">
        <v>42.03</v>
      </c>
      <c r="J147" t="n">
        <v>-4.69</v>
      </c>
      <c r="K147" t="n">
        <v>-32.48</v>
      </c>
      <c r="L147">
        <f>ROUND(SQRT((I147-I128)^2+(J147-J128)^2+(K147-K128)^2),2)</f>
        <v/>
      </c>
      <c r="M147" t="inlineStr">
        <is>
          <t>measured</t>
        </is>
      </c>
    </row>
    <row r="148">
      <c r="A148" t="inlineStr">
        <is>
          <t>40C_10RH_chamber</t>
        </is>
      </c>
      <c r="B148" t="inlineStr">
        <is>
          <t>40 C / 10%RH (chamber arm)</t>
        </is>
      </c>
      <c r="C148" t="inlineStr">
        <is>
          <t>measured</t>
        </is>
      </c>
      <c r="D148" t="inlineStr">
        <is>
          <t>Azurite</t>
        </is>
      </c>
      <c r="E148" t="inlineStr">
        <is>
          <t>pedestal</t>
        </is>
      </c>
      <c r="F148" t="inlineStr">
        <is>
          <t>HB.2</t>
        </is>
      </c>
      <c r="G148" t="inlineStr">
        <is>
          <t>6.17</t>
        </is>
      </c>
      <c r="H148" t="n">
        <v>61</v>
      </c>
      <c r="I148" t="n">
        <v>41.8</v>
      </c>
      <c r="J148" t="n">
        <v>-4.65</v>
      </c>
      <c r="K148" t="n">
        <v>-33.79</v>
      </c>
      <c r="L148">
        <f>ROUND(SQRT((I148-I128)^2+(J148-J128)^2+(K148-K128)^2),2)</f>
        <v/>
      </c>
      <c r="M148" t="inlineStr">
        <is>
          <t>measured</t>
        </is>
      </c>
    </row>
    <row r="149">
      <c r="A149" t="inlineStr">
        <is>
          <t>40C_10RH_chamber</t>
        </is>
      </c>
      <c r="B149" t="inlineStr">
        <is>
          <t>40 C / 10%RH (chamber arm)</t>
        </is>
      </c>
      <c r="C149" t="inlineStr">
        <is>
          <t>measured</t>
        </is>
      </c>
      <c r="D149" t="inlineStr">
        <is>
          <t>Azurite</t>
        </is>
      </c>
      <c r="E149" t="inlineStr">
        <is>
          <t>pedestal</t>
        </is>
      </c>
      <c r="F149" t="inlineStr">
        <is>
          <t>HB.3</t>
        </is>
      </c>
      <c r="G149" t="inlineStr">
        <is>
          <t>4.17</t>
        </is>
      </c>
      <c r="H149" t="n">
        <v>0</v>
      </c>
      <c r="I149" t="n">
        <v>40.61</v>
      </c>
      <c r="J149" t="n">
        <v>-5.44</v>
      </c>
      <c r="K149" t="n">
        <v>-32.22</v>
      </c>
      <c r="L149" t="n">
        <v>0</v>
      </c>
      <c r="M149" t="inlineStr">
        <is>
          <t>measured</t>
        </is>
      </c>
    </row>
    <row r="150">
      <c r="A150" t="inlineStr">
        <is>
          <t>40C_10RH_chamber</t>
        </is>
      </c>
      <c r="B150" t="inlineStr">
        <is>
          <t>40 C / 10%RH (chamber arm)</t>
        </is>
      </c>
      <c r="C150" t="inlineStr">
        <is>
          <t>measured</t>
        </is>
      </c>
      <c r="D150" t="inlineStr">
        <is>
          <t>Azurite</t>
        </is>
      </c>
      <c r="E150" t="inlineStr">
        <is>
          <t>pedestal</t>
        </is>
      </c>
      <c r="F150" t="inlineStr">
        <is>
          <t>HB.3</t>
        </is>
      </c>
      <c r="G150" t="inlineStr">
        <is>
          <t>4.20</t>
        </is>
      </c>
      <c r="H150" t="n">
        <v>3</v>
      </c>
      <c r="I150" t="n">
        <v>40.41</v>
      </c>
      <c r="J150" t="n">
        <v>-4.64</v>
      </c>
      <c r="K150" t="n">
        <v>-32.6</v>
      </c>
      <c r="L150">
        <f>ROUND(SQRT((I150-I149)^2+(J150-J149)^2+(K150-K149)^2),2)</f>
        <v/>
      </c>
      <c r="M150" t="inlineStr">
        <is>
          <t>measured</t>
        </is>
      </c>
    </row>
    <row r="151">
      <c r="A151" t="inlineStr">
        <is>
          <t>40C_10RH_chamber</t>
        </is>
      </c>
      <c r="B151" t="inlineStr">
        <is>
          <t>40 C / 10%RH (chamber arm)</t>
        </is>
      </c>
      <c r="C151" t="inlineStr">
        <is>
          <t>measured</t>
        </is>
      </c>
      <c r="D151" t="inlineStr">
        <is>
          <t>Azurite</t>
        </is>
      </c>
      <c r="E151" t="inlineStr">
        <is>
          <t>pedestal</t>
        </is>
      </c>
      <c r="F151" t="inlineStr">
        <is>
          <t>HB.3</t>
        </is>
      </c>
      <c r="G151" t="inlineStr">
        <is>
          <t>4.23</t>
        </is>
      </c>
      <c r="H151" t="n">
        <v>6</v>
      </c>
      <c r="I151" t="n">
        <v>41.02</v>
      </c>
      <c r="J151" t="n">
        <v>-5.43</v>
      </c>
      <c r="K151" t="n">
        <v>-32.86</v>
      </c>
      <c r="L151">
        <f>ROUND(SQRT((I151-I149)^2+(J151-J149)^2+(K151-K149)^2),2)</f>
        <v/>
      </c>
      <c r="M151" t="inlineStr">
        <is>
          <t>measured</t>
        </is>
      </c>
    </row>
    <row r="152">
      <c r="A152" t="inlineStr">
        <is>
          <t>40C_10RH_chamber</t>
        </is>
      </c>
      <c r="B152" t="inlineStr">
        <is>
          <t>40 C / 10%RH (chamber arm)</t>
        </is>
      </c>
      <c r="C152" t="inlineStr">
        <is>
          <t>measured</t>
        </is>
      </c>
      <c r="D152" t="inlineStr">
        <is>
          <t>Azurite</t>
        </is>
      </c>
      <c r="E152" t="inlineStr">
        <is>
          <t>pedestal</t>
        </is>
      </c>
      <c r="F152" t="inlineStr">
        <is>
          <t>HB.3</t>
        </is>
      </c>
      <c r="G152" t="inlineStr">
        <is>
          <t>4.26</t>
        </is>
      </c>
      <c r="H152" t="n">
        <v>9</v>
      </c>
      <c r="I152" t="n">
        <v>40.61</v>
      </c>
      <c r="J152" t="n">
        <v>-6.99</v>
      </c>
      <c r="K152" t="n">
        <v>-32.3</v>
      </c>
      <c r="L152">
        <f>ROUND(SQRT((I152-I149)^2+(J152-J149)^2+(K152-K149)^2),2)</f>
        <v/>
      </c>
      <c r="M152" t="inlineStr">
        <is>
          <t>measured</t>
        </is>
      </c>
    </row>
    <row r="153">
      <c r="A153" t="inlineStr">
        <is>
          <t>40C_10RH_chamber</t>
        </is>
      </c>
      <c r="B153" t="inlineStr">
        <is>
          <t>40 C / 10%RH (chamber arm)</t>
        </is>
      </c>
      <c r="C153" t="inlineStr">
        <is>
          <t>measured</t>
        </is>
      </c>
      <c r="D153" t="inlineStr">
        <is>
          <t>Azurite</t>
        </is>
      </c>
      <c r="E153" t="inlineStr">
        <is>
          <t>pedestal</t>
        </is>
      </c>
      <c r="F153" t="inlineStr">
        <is>
          <t>HB.3</t>
        </is>
      </c>
      <c r="G153" t="inlineStr">
        <is>
          <t>4.29</t>
        </is>
      </c>
      <c r="H153" t="n">
        <v>12</v>
      </c>
      <c r="I153" t="n">
        <v>40.43</v>
      </c>
      <c r="J153" t="n">
        <v>-5.53</v>
      </c>
      <c r="K153" t="n">
        <v>-32.77</v>
      </c>
      <c r="L153">
        <f>ROUND(SQRT((I153-I149)^2+(J153-J149)^2+(K153-K149)^2),2)</f>
        <v/>
      </c>
      <c r="M153" t="inlineStr">
        <is>
          <t>measured</t>
        </is>
      </c>
    </row>
    <row r="154">
      <c r="A154" t="inlineStr">
        <is>
          <t>40C_10RH_chamber</t>
        </is>
      </c>
      <c r="B154" t="inlineStr">
        <is>
          <t>40 C / 10%RH (chamber arm)</t>
        </is>
      </c>
      <c r="C154" t="inlineStr">
        <is>
          <t>measured</t>
        </is>
      </c>
      <c r="D154" t="inlineStr">
        <is>
          <t>Azurite</t>
        </is>
      </c>
      <c r="E154" t="inlineStr">
        <is>
          <t>pedestal</t>
        </is>
      </c>
      <c r="F154" t="inlineStr">
        <is>
          <t>HB.3</t>
        </is>
      </c>
      <c r="G154" t="inlineStr">
        <is>
          <t>5.02</t>
        </is>
      </c>
      <c r="H154" t="n">
        <v>15</v>
      </c>
      <c r="I154" t="n">
        <v>41.76</v>
      </c>
      <c r="J154" t="n">
        <v>-5.5</v>
      </c>
      <c r="K154" t="n">
        <v>-31.71</v>
      </c>
      <c r="L154">
        <f>ROUND(SQRT((I154-I149)^2+(J154-J149)^2+(K154-K149)^2),2)</f>
        <v/>
      </c>
      <c r="M154" t="inlineStr">
        <is>
          <t>measured</t>
        </is>
      </c>
    </row>
    <row r="155">
      <c r="A155" t="inlineStr">
        <is>
          <t>40C_10RH_chamber</t>
        </is>
      </c>
      <c r="B155" t="inlineStr">
        <is>
          <t>40 C / 10%RH (chamber arm)</t>
        </is>
      </c>
      <c r="C155" t="inlineStr">
        <is>
          <t>measured</t>
        </is>
      </c>
      <c r="D155" t="inlineStr">
        <is>
          <t>Azurite</t>
        </is>
      </c>
      <c r="E155" t="inlineStr">
        <is>
          <t>pedestal</t>
        </is>
      </c>
      <c r="F155" t="inlineStr">
        <is>
          <t>HB.3</t>
        </is>
      </c>
      <c r="G155" t="inlineStr">
        <is>
          <t>5.05</t>
        </is>
      </c>
      <c r="H155" t="n">
        <v>18</v>
      </c>
      <c r="I155" t="n">
        <v>40.68</v>
      </c>
      <c r="J155" t="n">
        <v>-3.91</v>
      </c>
      <c r="K155" t="n">
        <v>-32.69</v>
      </c>
      <c r="L155">
        <f>ROUND(SQRT((I155-I149)^2+(J155-J149)^2+(K155-K149)^2),2)</f>
        <v/>
      </c>
      <c r="M155" t="inlineStr">
        <is>
          <t>measured</t>
        </is>
      </c>
    </row>
    <row r="156">
      <c r="A156" t="inlineStr">
        <is>
          <t>40C_10RH_chamber</t>
        </is>
      </c>
      <c r="B156" t="inlineStr">
        <is>
          <t>40 C / 10%RH (chamber arm)</t>
        </is>
      </c>
      <c r="C156" t="inlineStr">
        <is>
          <t>measured</t>
        </is>
      </c>
      <c r="D156" t="inlineStr">
        <is>
          <t>Azurite</t>
        </is>
      </c>
      <c r="E156" t="inlineStr">
        <is>
          <t>pedestal</t>
        </is>
      </c>
      <c r="F156" t="inlineStr">
        <is>
          <t>HB.3</t>
        </is>
      </c>
      <c r="G156" t="inlineStr">
        <is>
          <t>5.08</t>
        </is>
      </c>
      <c r="H156" t="n">
        <v>21</v>
      </c>
      <c r="I156" t="n">
        <v>42.4</v>
      </c>
      <c r="J156" t="n">
        <v>-6.39</v>
      </c>
      <c r="K156" t="n">
        <v>-31.33</v>
      </c>
      <c r="L156">
        <f>ROUND(SQRT((I156-I149)^2+(J156-J149)^2+(K156-K149)^2),2)</f>
        <v/>
      </c>
      <c r="M156" t="inlineStr">
        <is>
          <t>measured</t>
        </is>
      </c>
    </row>
    <row r="157">
      <c r="A157" t="inlineStr">
        <is>
          <t>40C_10RH_chamber</t>
        </is>
      </c>
      <c r="B157" t="inlineStr">
        <is>
          <t>40 C / 10%RH (chamber arm)</t>
        </is>
      </c>
      <c r="C157" t="inlineStr">
        <is>
          <t>measured</t>
        </is>
      </c>
      <c r="D157" t="inlineStr">
        <is>
          <t>Azurite</t>
        </is>
      </c>
      <c r="E157" t="inlineStr">
        <is>
          <t>pedestal</t>
        </is>
      </c>
      <c r="F157" t="inlineStr">
        <is>
          <t>HB.3</t>
        </is>
      </c>
      <c r="G157" t="inlineStr">
        <is>
          <t>5.11</t>
        </is>
      </c>
      <c r="H157" t="n">
        <v>24</v>
      </c>
      <c r="I157" t="n">
        <v>40.87</v>
      </c>
      <c r="J157" t="n">
        <v>-5.63</v>
      </c>
      <c r="K157" t="n">
        <v>-32.6</v>
      </c>
      <c r="L157">
        <f>ROUND(SQRT((I157-I149)^2+(J157-J149)^2+(K157-K149)^2),2)</f>
        <v/>
      </c>
      <c r="M157" t="inlineStr">
        <is>
          <t>measured</t>
        </is>
      </c>
    </row>
    <row r="158">
      <c r="A158" t="inlineStr">
        <is>
          <t>40C_10RH_chamber</t>
        </is>
      </c>
      <c r="B158" t="inlineStr">
        <is>
          <t>40 C / 10%RH (chamber arm)</t>
        </is>
      </c>
      <c r="C158" t="inlineStr">
        <is>
          <t>measured</t>
        </is>
      </c>
      <c r="D158" t="inlineStr">
        <is>
          <t>Azurite</t>
        </is>
      </c>
      <c r="E158" t="inlineStr">
        <is>
          <t>pedestal</t>
        </is>
      </c>
      <c r="F158" t="inlineStr">
        <is>
          <t>HB.3</t>
        </is>
      </c>
      <c r="G158" t="inlineStr">
        <is>
          <t>5.12</t>
        </is>
      </c>
      <c r="H158" t="n">
        <v>25</v>
      </c>
      <c r="I158" t="n">
        <v>42.07</v>
      </c>
      <c r="J158" t="n">
        <v>-4.16</v>
      </c>
      <c r="K158" t="n">
        <v>-32.15</v>
      </c>
      <c r="L158">
        <f>ROUND(SQRT((I158-I149)^2+(J158-J149)^2+(K158-K149)^2),2)</f>
        <v/>
      </c>
      <c r="M158" t="inlineStr">
        <is>
          <t>measured</t>
        </is>
      </c>
    </row>
    <row r="159">
      <c r="A159" t="inlineStr">
        <is>
          <t>40C_10RH_chamber</t>
        </is>
      </c>
      <c r="B159" t="inlineStr">
        <is>
          <t>40 C / 10%RH (chamber arm)</t>
        </is>
      </c>
      <c r="C159" t="inlineStr">
        <is>
          <t>measured</t>
        </is>
      </c>
      <c r="D159" t="inlineStr">
        <is>
          <t>Azurite</t>
        </is>
      </c>
      <c r="E159" t="inlineStr">
        <is>
          <t>pedestal</t>
        </is>
      </c>
      <c r="F159" t="inlineStr">
        <is>
          <t>HB.3</t>
        </is>
      </c>
      <c r="G159" t="inlineStr">
        <is>
          <t>5.14</t>
        </is>
      </c>
      <c r="H159" t="n">
        <v>27</v>
      </c>
      <c r="I159" t="n">
        <v>41.09</v>
      </c>
      <c r="J159" t="n">
        <v>-5.04</v>
      </c>
      <c r="K159" t="n">
        <v>-32.15</v>
      </c>
      <c r="L159">
        <f>ROUND(SQRT((I159-I149)^2+(J159-J149)^2+(K159-K149)^2),2)</f>
        <v/>
      </c>
      <c r="M159" t="inlineStr">
        <is>
          <t>measured</t>
        </is>
      </c>
    </row>
    <row r="160">
      <c r="A160" t="inlineStr">
        <is>
          <t>40C_10RH_chamber</t>
        </is>
      </c>
      <c r="B160" t="inlineStr">
        <is>
          <t>40 C / 10%RH (chamber arm)</t>
        </is>
      </c>
      <c r="C160" t="inlineStr">
        <is>
          <t>measured</t>
        </is>
      </c>
      <c r="D160" t="inlineStr">
        <is>
          <t>Azurite</t>
        </is>
      </c>
      <c r="E160" t="inlineStr">
        <is>
          <t>pedestal</t>
        </is>
      </c>
      <c r="F160" t="inlineStr">
        <is>
          <t>HB.3</t>
        </is>
      </c>
      <c r="G160" t="inlineStr">
        <is>
          <t>5.18</t>
        </is>
      </c>
      <c r="H160" t="n">
        <v>31</v>
      </c>
      <c r="I160" t="n">
        <v>41.54</v>
      </c>
      <c r="J160" t="n">
        <v>-4.94</v>
      </c>
      <c r="K160" t="n">
        <v>-30.71</v>
      </c>
      <c r="L160">
        <f>ROUND(SQRT((I160-I149)^2+(J160-J149)^2+(K160-K149)^2),2)</f>
        <v/>
      </c>
      <c r="M160" t="inlineStr">
        <is>
          <t>measured</t>
        </is>
      </c>
    </row>
    <row r="161">
      <c r="A161" t="inlineStr">
        <is>
          <t>40C_10RH_chamber</t>
        </is>
      </c>
      <c r="B161" t="inlineStr">
        <is>
          <t>40 C / 10%RH (chamber arm)</t>
        </is>
      </c>
      <c r="C161" t="inlineStr">
        <is>
          <t>measured</t>
        </is>
      </c>
      <c r="D161" t="inlineStr">
        <is>
          <t>Azurite</t>
        </is>
      </c>
      <c r="E161" t="inlineStr">
        <is>
          <t>pedestal</t>
        </is>
      </c>
      <c r="F161" t="inlineStr">
        <is>
          <t>HB.3</t>
        </is>
      </c>
      <c r="G161" t="inlineStr">
        <is>
          <t>5.21</t>
        </is>
      </c>
      <c r="H161" t="n">
        <v>34</v>
      </c>
      <c r="I161" t="n">
        <v>40.39</v>
      </c>
      <c r="J161" t="n">
        <v>-5.25</v>
      </c>
      <c r="K161" t="n">
        <v>-31.36</v>
      </c>
      <c r="L161">
        <f>ROUND(SQRT((I161-I149)^2+(J161-J149)^2+(K161-K149)^2),2)</f>
        <v/>
      </c>
      <c r="M161" t="inlineStr">
        <is>
          <t>measured</t>
        </is>
      </c>
    </row>
    <row r="162">
      <c r="A162" t="inlineStr">
        <is>
          <t>40C_10RH_chamber</t>
        </is>
      </c>
      <c r="B162" t="inlineStr">
        <is>
          <t>40 C / 10%RH (chamber arm)</t>
        </is>
      </c>
      <c r="C162" t="inlineStr">
        <is>
          <t>measured</t>
        </is>
      </c>
      <c r="D162" t="inlineStr">
        <is>
          <t>Azurite</t>
        </is>
      </c>
      <c r="E162" t="inlineStr">
        <is>
          <t>pedestal</t>
        </is>
      </c>
      <c r="F162" t="inlineStr">
        <is>
          <t>HB.3</t>
        </is>
      </c>
      <c r="G162" t="inlineStr">
        <is>
          <t>5.24</t>
        </is>
      </c>
      <c r="H162" t="n">
        <v>37</v>
      </c>
      <c r="I162" t="n">
        <v>40.32</v>
      </c>
      <c r="J162" t="n">
        <v>-5.09</v>
      </c>
      <c r="K162" t="n">
        <v>-31.68</v>
      </c>
      <c r="L162">
        <f>ROUND(SQRT((I162-I149)^2+(J162-J149)^2+(K162-K149)^2),2)</f>
        <v/>
      </c>
      <c r="M162" t="inlineStr">
        <is>
          <t>measured</t>
        </is>
      </c>
    </row>
    <row r="163">
      <c r="A163" t="inlineStr">
        <is>
          <t>40C_10RH_chamber</t>
        </is>
      </c>
      <c r="B163" t="inlineStr">
        <is>
          <t>40 C / 10%RH (chamber arm)</t>
        </is>
      </c>
      <c r="C163" t="inlineStr">
        <is>
          <t>measured</t>
        </is>
      </c>
      <c r="D163" t="inlineStr">
        <is>
          <t>Azurite</t>
        </is>
      </c>
      <c r="E163" t="inlineStr">
        <is>
          <t>pedestal</t>
        </is>
      </c>
      <c r="F163" t="inlineStr">
        <is>
          <t>HB.3</t>
        </is>
      </c>
      <c r="G163" t="inlineStr">
        <is>
          <t>5.28</t>
        </is>
      </c>
      <c r="H163" t="n">
        <v>41</v>
      </c>
      <c r="I163" t="n">
        <v>41.27</v>
      </c>
      <c r="J163" t="n">
        <v>-4.76</v>
      </c>
      <c r="K163" t="n">
        <v>-31.11</v>
      </c>
      <c r="L163">
        <f>ROUND(SQRT((I163-I149)^2+(J163-J149)^2+(K163-K149)^2),2)</f>
        <v/>
      </c>
      <c r="M163" t="inlineStr">
        <is>
          <t>measured</t>
        </is>
      </c>
    </row>
    <row r="164">
      <c r="A164" t="inlineStr">
        <is>
          <t>40C_10RH_chamber</t>
        </is>
      </c>
      <c r="B164" t="inlineStr">
        <is>
          <t>40 C / 10%RH (chamber arm)</t>
        </is>
      </c>
      <c r="C164" t="inlineStr">
        <is>
          <t>measured</t>
        </is>
      </c>
      <c r="D164" t="inlineStr">
        <is>
          <t>Azurite</t>
        </is>
      </c>
      <c r="E164" t="inlineStr">
        <is>
          <t>pedestal</t>
        </is>
      </c>
      <c r="F164" t="inlineStr">
        <is>
          <t>HB.3</t>
        </is>
      </c>
      <c r="G164" t="inlineStr">
        <is>
          <t>5.31</t>
        </is>
      </c>
      <c r="H164" t="n">
        <v>44</v>
      </c>
      <c r="I164" t="n">
        <v>41.67</v>
      </c>
      <c r="J164" t="n">
        <v>-5.86</v>
      </c>
      <c r="K164" t="n">
        <v>-32.88</v>
      </c>
      <c r="L164">
        <f>ROUND(SQRT((I164-I149)^2+(J164-J149)^2+(K164-K149)^2),2)</f>
        <v/>
      </c>
      <c r="M164" t="inlineStr">
        <is>
          <t>measured</t>
        </is>
      </c>
    </row>
    <row r="165">
      <c r="A165" t="inlineStr">
        <is>
          <t>40C_10RH_chamber</t>
        </is>
      </c>
      <c r="B165" t="inlineStr">
        <is>
          <t>40 C / 10%RH (chamber arm)</t>
        </is>
      </c>
      <c r="C165" t="inlineStr">
        <is>
          <t>measured</t>
        </is>
      </c>
      <c r="D165" t="inlineStr">
        <is>
          <t>Azurite</t>
        </is>
      </c>
      <c r="E165" t="inlineStr">
        <is>
          <t>pedestal</t>
        </is>
      </c>
      <c r="F165" t="inlineStr">
        <is>
          <t>HB.3</t>
        </is>
      </c>
      <c r="G165" t="inlineStr">
        <is>
          <t>6.03</t>
        </is>
      </c>
      <c r="H165" t="n">
        <v>47</v>
      </c>
      <c r="I165" t="n">
        <v>41.03</v>
      </c>
      <c r="J165" t="n">
        <v>-4.67</v>
      </c>
      <c r="K165" t="n">
        <v>-31.38</v>
      </c>
      <c r="L165">
        <f>ROUND(SQRT((I165-I149)^2+(J165-J149)^2+(K165-K149)^2),2)</f>
        <v/>
      </c>
      <c r="M165" t="inlineStr">
        <is>
          <t>measured</t>
        </is>
      </c>
    </row>
    <row r="166">
      <c r="A166" t="inlineStr">
        <is>
          <t>40C_10RH_chamber</t>
        </is>
      </c>
      <c r="B166" t="inlineStr">
        <is>
          <t>40 C / 10%RH (chamber arm)</t>
        </is>
      </c>
      <c r="C166" t="inlineStr">
        <is>
          <t>measured</t>
        </is>
      </c>
      <c r="D166" t="inlineStr">
        <is>
          <t>Azurite</t>
        </is>
      </c>
      <c r="E166" t="inlineStr">
        <is>
          <t>pedestal</t>
        </is>
      </c>
      <c r="F166" t="inlineStr">
        <is>
          <t>HB.3</t>
        </is>
      </c>
      <c r="G166" t="inlineStr">
        <is>
          <t>6.06</t>
        </is>
      </c>
      <c r="H166" t="n">
        <v>50</v>
      </c>
      <c r="I166" t="n">
        <v>40.12</v>
      </c>
      <c r="J166" t="n">
        <v>-6.24</v>
      </c>
      <c r="K166" t="n">
        <v>-29.89</v>
      </c>
      <c r="L166">
        <f>ROUND(SQRT((I166-I149)^2+(J166-J149)^2+(K166-K149)^2),2)</f>
        <v/>
      </c>
      <c r="M166" t="inlineStr">
        <is>
          <t>measured</t>
        </is>
      </c>
    </row>
    <row r="167">
      <c r="A167" t="inlineStr">
        <is>
          <t>40C_10RH_chamber</t>
        </is>
      </c>
      <c r="B167" t="inlineStr">
        <is>
          <t>40 C / 10%RH (chamber arm)</t>
        </is>
      </c>
      <c r="C167" t="inlineStr">
        <is>
          <t>measured</t>
        </is>
      </c>
      <c r="D167" t="inlineStr">
        <is>
          <t>Azurite</t>
        </is>
      </c>
      <c r="E167" t="inlineStr">
        <is>
          <t>pedestal</t>
        </is>
      </c>
      <c r="F167" t="inlineStr">
        <is>
          <t>HB.3</t>
        </is>
      </c>
      <c r="G167" t="inlineStr">
        <is>
          <t>6.09</t>
        </is>
      </c>
      <c r="H167" t="n">
        <v>53</v>
      </c>
      <c r="I167" t="n">
        <v>40.1</v>
      </c>
      <c r="J167" t="n">
        <v>-5.03</v>
      </c>
      <c r="K167" t="n">
        <v>-31.15</v>
      </c>
      <c r="L167">
        <f>ROUND(SQRT((I167-I149)^2+(J167-J149)^2+(K167-K149)^2),2)</f>
        <v/>
      </c>
      <c r="M167" t="inlineStr">
        <is>
          <t>measured</t>
        </is>
      </c>
    </row>
    <row r="168">
      <c r="A168" t="inlineStr">
        <is>
          <t>40C_10RH_chamber</t>
        </is>
      </c>
      <c r="B168" t="inlineStr">
        <is>
          <t>40 C / 10%RH (chamber arm)</t>
        </is>
      </c>
      <c r="C168" t="inlineStr">
        <is>
          <t>measured</t>
        </is>
      </c>
      <c r="D168" t="inlineStr">
        <is>
          <t>Azurite</t>
        </is>
      </c>
      <c r="E168" t="inlineStr">
        <is>
          <t>pedestal</t>
        </is>
      </c>
      <c r="F168" t="inlineStr">
        <is>
          <t>HB.3</t>
        </is>
      </c>
      <c r="G168" t="inlineStr">
        <is>
          <t>6.13</t>
        </is>
      </c>
      <c r="H168" t="n">
        <v>57</v>
      </c>
      <c r="I168" t="n">
        <v>40.08</v>
      </c>
      <c r="J168" t="n">
        <v>-5.13</v>
      </c>
      <c r="K168" t="n">
        <v>-31.12</v>
      </c>
      <c r="L168">
        <f>ROUND(SQRT((I168-I149)^2+(J168-J149)^2+(K168-K149)^2),2)</f>
        <v/>
      </c>
      <c r="M168" t="inlineStr">
        <is>
          <t>measured</t>
        </is>
      </c>
    </row>
    <row r="169">
      <c r="A169" t="inlineStr">
        <is>
          <t>40C_10RH_chamber</t>
        </is>
      </c>
      <c r="B169" t="inlineStr">
        <is>
          <t>40 C / 10%RH (chamber arm)</t>
        </is>
      </c>
      <c r="C169" t="inlineStr">
        <is>
          <t>measured</t>
        </is>
      </c>
      <c r="D169" t="inlineStr">
        <is>
          <t>Azurite</t>
        </is>
      </c>
      <c r="E169" t="inlineStr">
        <is>
          <t>pedestal</t>
        </is>
      </c>
      <c r="F169" t="inlineStr">
        <is>
          <t>HB.3</t>
        </is>
      </c>
      <c r="G169" t="inlineStr">
        <is>
          <t>6.17</t>
        </is>
      </c>
      <c r="H169" t="n">
        <v>61</v>
      </c>
      <c r="I169" t="n">
        <v>39.88</v>
      </c>
      <c r="J169" t="n">
        <v>-5.67</v>
      </c>
      <c r="K169" t="n">
        <v>-30.71</v>
      </c>
      <c r="L169">
        <f>ROUND(SQRT((I169-I149)^2+(J169-J149)^2+(K169-K149)^2),2)</f>
        <v/>
      </c>
      <c r="M169" t="inlineStr">
        <is>
          <t>measured</t>
        </is>
      </c>
    </row>
    <row r="170">
      <c r="A170" t="inlineStr">
        <is>
          <t>40C_10RH_chamber</t>
        </is>
      </c>
      <c r="B170" t="inlineStr">
        <is>
          <t>40 C / 10%RH (chamber arm)</t>
        </is>
      </c>
      <c r="C170" t="inlineStr">
        <is>
          <t>measured</t>
        </is>
      </c>
      <c r="D170" t="inlineStr">
        <is>
          <t>Azurite</t>
        </is>
      </c>
      <c r="E170" t="inlineStr">
        <is>
          <t>block</t>
        </is>
      </c>
      <c r="F170" t="inlineStr">
        <is>
          <t>HTB.1</t>
        </is>
      </c>
      <c r="G170" t="inlineStr">
        <is>
          <t>4.17</t>
        </is>
      </c>
      <c r="H170" t="n">
        <v>0</v>
      </c>
      <c r="I170" t="n">
        <v>41.17</v>
      </c>
      <c r="J170" t="n">
        <v>-4.12</v>
      </c>
      <c r="K170" t="n">
        <v>-28.95</v>
      </c>
      <c r="L170" t="n">
        <v>0</v>
      </c>
      <c r="M170" t="inlineStr">
        <is>
          <t>measured</t>
        </is>
      </c>
    </row>
    <row r="171">
      <c r="A171" t="inlineStr">
        <is>
          <t>40C_10RH_chamber</t>
        </is>
      </c>
      <c r="B171" t="inlineStr">
        <is>
          <t>40 C / 10%RH (chamber arm)</t>
        </is>
      </c>
      <c r="C171" t="inlineStr">
        <is>
          <t>measured</t>
        </is>
      </c>
      <c r="D171" t="inlineStr">
        <is>
          <t>Azurite</t>
        </is>
      </c>
      <c r="E171" t="inlineStr">
        <is>
          <t>block</t>
        </is>
      </c>
      <c r="F171" t="inlineStr">
        <is>
          <t>HTB.1</t>
        </is>
      </c>
      <c r="G171" t="inlineStr">
        <is>
          <t>4.20</t>
        </is>
      </c>
      <c r="H171" t="n">
        <v>3</v>
      </c>
      <c r="I171" t="n">
        <v>41.11</v>
      </c>
      <c r="J171" t="n">
        <v>-3.36</v>
      </c>
      <c r="K171" t="n">
        <v>-28.89</v>
      </c>
      <c r="L171">
        <f>ROUND(SQRT((I171-I170)^2+(J171-J170)^2+(K171-K170)^2),2)</f>
        <v/>
      </c>
      <c r="M171" t="inlineStr">
        <is>
          <t>measured</t>
        </is>
      </c>
    </row>
    <row r="172">
      <c r="A172" t="inlineStr">
        <is>
          <t>40C_10RH_chamber</t>
        </is>
      </c>
      <c r="B172" t="inlineStr">
        <is>
          <t>40 C / 10%RH (chamber arm)</t>
        </is>
      </c>
      <c r="C172" t="inlineStr">
        <is>
          <t>measured</t>
        </is>
      </c>
      <c r="D172" t="inlineStr">
        <is>
          <t>Azurite</t>
        </is>
      </c>
      <c r="E172" t="inlineStr">
        <is>
          <t>block</t>
        </is>
      </c>
      <c r="F172" t="inlineStr">
        <is>
          <t>HTB.1</t>
        </is>
      </c>
      <c r="G172" t="inlineStr">
        <is>
          <t>4.23</t>
        </is>
      </c>
      <c r="H172" t="n">
        <v>6</v>
      </c>
      <c r="I172" t="n">
        <v>40.4</v>
      </c>
      <c r="J172" t="n">
        <v>-5.26</v>
      </c>
      <c r="K172" t="n">
        <v>-28.8</v>
      </c>
      <c r="L172">
        <f>ROUND(SQRT((I172-I170)^2+(J172-J170)^2+(K172-K170)^2),2)</f>
        <v/>
      </c>
      <c r="M172" t="inlineStr">
        <is>
          <t>measured</t>
        </is>
      </c>
    </row>
    <row r="173">
      <c r="A173" t="inlineStr">
        <is>
          <t>40C_10RH_chamber</t>
        </is>
      </c>
      <c r="B173" t="inlineStr">
        <is>
          <t>40 C / 10%RH (chamber arm)</t>
        </is>
      </c>
      <c r="C173" t="inlineStr">
        <is>
          <t>measured</t>
        </is>
      </c>
      <c r="D173" t="inlineStr">
        <is>
          <t>Azurite</t>
        </is>
      </c>
      <c r="E173" t="inlineStr">
        <is>
          <t>block</t>
        </is>
      </c>
      <c r="F173" t="inlineStr">
        <is>
          <t>HTB.1</t>
        </is>
      </c>
      <c r="G173" t="inlineStr">
        <is>
          <t>4.26</t>
        </is>
      </c>
      <c r="H173" t="n">
        <v>9</v>
      </c>
      <c r="I173" t="n">
        <v>41.89</v>
      </c>
      <c r="J173" t="n">
        <v>-3.95</v>
      </c>
      <c r="K173" t="n">
        <v>-28.09</v>
      </c>
      <c r="L173">
        <f>ROUND(SQRT((I173-I170)^2+(J173-J170)^2+(K173-K170)^2),2)</f>
        <v/>
      </c>
      <c r="M173" t="inlineStr">
        <is>
          <t>measured</t>
        </is>
      </c>
    </row>
    <row r="174">
      <c r="A174" t="inlineStr">
        <is>
          <t>40C_10RH_chamber</t>
        </is>
      </c>
      <c r="B174" t="inlineStr">
        <is>
          <t>40 C / 10%RH (chamber arm)</t>
        </is>
      </c>
      <c r="C174" t="inlineStr">
        <is>
          <t>measured</t>
        </is>
      </c>
      <c r="D174" t="inlineStr">
        <is>
          <t>Azurite</t>
        </is>
      </c>
      <c r="E174" t="inlineStr">
        <is>
          <t>block</t>
        </is>
      </c>
      <c r="F174" t="inlineStr">
        <is>
          <t>HTB.1</t>
        </is>
      </c>
      <c r="G174" t="inlineStr">
        <is>
          <t>4.29</t>
        </is>
      </c>
      <c r="H174" t="n">
        <v>12</v>
      </c>
      <c r="I174" t="n">
        <v>40.7</v>
      </c>
      <c r="J174" t="n">
        <v>-3.46</v>
      </c>
      <c r="K174" t="n">
        <v>-30.07</v>
      </c>
      <c r="L174">
        <f>ROUND(SQRT((I174-I170)^2+(J174-J170)^2+(K174-K170)^2),2)</f>
        <v/>
      </c>
      <c r="M174" t="inlineStr">
        <is>
          <t>measured</t>
        </is>
      </c>
    </row>
    <row r="175">
      <c r="A175" t="inlineStr">
        <is>
          <t>40C_10RH_chamber</t>
        </is>
      </c>
      <c r="B175" t="inlineStr">
        <is>
          <t>40 C / 10%RH (chamber arm)</t>
        </is>
      </c>
      <c r="C175" t="inlineStr">
        <is>
          <t>measured</t>
        </is>
      </c>
      <c r="D175" t="inlineStr">
        <is>
          <t>Azurite</t>
        </is>
      </c>
      <c r="E175" t="inlineStr">
        <is>
          <t>block</t>
        </is>
      </c>
      <c r="F175" t="inlineStr">
        <is>
          <t>HTB.1</t>
        </is>
      </c>
      <c r="G175" t="inlineStr">
        <is>
          <t>5.02</t>
        </is>
      </c>
      <c r="H175" t="n">
        <v>15</v>
      </c>
      <c r="I175" t="n">
        <v>43.35</v>
      </c>
      <c r="J175" t="n">
        <v>-5.35</v>
      </c>
      <c r="K175" t="n">
        <v>-30.02</v>
      </c>
      <c r="L175">
        <f>ROUND(SQRT((I175-I170)^2+(J175-J170)^2+(K175-K170)^2),2)</f>
        <v/>
      </c>
      <c r="M175" t="inlineStr">
        <is>
          <t>measured</t>
        </is>
      </c>
    </row>
    <row r="176">
      <c r="A176" t="inlineStr">
        <is>
          <t>40C_10RH_chamber</t>
        </is>
      </c>
      <c r="B176" t="inlineStr">
        <is>
          <t>40 C / 10%RH (chamber arm)</t>
        </is>
      </c>
      <c r="C176" t="inlineStr">
        <is>
          <t>measured</t>
        </is>
      </c>
      <c r="D176" t="inlineStr">
        <is>
          <t>Azurite</t>
        </is>
      </c>
      <c r="E176" t="inlineStr">
        <is>
          <t>block</t>
        </is>
      </c>
      <c r="F176" t="inlineStr">
        <is>
          <t>HTB.1</t>
        </is>
      </c>
      <c r="G176" t="inlineStr">
        <is>
          <t>5.05</t>
        </is>
      </c>
      <c r="H176" t="n">
        <v>18</v>
      </c>
      <c r="I176" t="n">
        <v>41.11</v>
      </c>
      <c r="J176" t="n">
        <v>-4.21</v>
      </c>
      <c r="K176" t="n">
        <v>-28.39</v>
      </c>
      <c r="L176">
        <f>ROUND(SQRT((I176-I170)^2+(J176-J170)^2+(K176-K170)^2),2)</f>
        <v/>
      </c>
      <c r="M176" t="inlineStr">
        <is>
          <t>measured</t>
        </is>
      </c>
    </row>
    <row r="177">
      <c r="A177" t="inlineStr">
        <is>
          <t>40C_10RH_chamber</t>
        </is>
      </c>
      <c r="B177" t="inlineStr">
        <is>
          <t>40 C / 10%RH (chamber arm)</t>
        </is>
      </c>
      <c r="C177" t="inlineStr">
        <is>
          <t>measured</t>
        </is>
      </c>
      <c r="D177" t="inlineStr">
        <is>
          <t>Azurite</t>
        </is>
      </c>
      <c r="E177" t="inlineStr">
        <is>
          <t>block</t>
        </is>
      </c>
      <c r="F177" t="inlineStr">
        <is>
          <t>HTB.1</t>
        </is>
      </c>
      <c r="G177" t="inlineStr">
        <is>
          <t>5.08</t>
        </is>
      </c>
      <c r="H177" t="n">
        <v>21</v>
      </c>
      <c r="I177" t="n">
        <v>41.52</v>
      </c>
      <c r="J177" t="n">
        <v>-4.02</v>
      </c>
      <c r="K177" t="n">
        <v>-28.52</v>
      </c>
      <c r="L177">
        <f>ROUND(SQRT((I177-I170)^2+(J177-J170)^2+(K177-K170)^2),2)</f>
        <v/>
      </c>
      <c r="M177" t="inlineStr">
        <is>
          <t>measured</t>
        </is>
      </c>
    </row>
    <row r="178">
      <c r="A178" t="inlineStr">
        <is>
          <t>40C_10RH_chamber</t>
        </is>
      </c>
      <c r="B178" t="inlineStr">
        <is>
          <t>40 C / 10%RH (chamber arm)</t>
        </is>
      </c>
      <c r="C178" t="inlineStr">
        <is>
          <t>measured</t>
        </is>
      </c>
      <c r="D178" t="inlineStr">
        <is>
          <t>Azurite</t>
        </is>
      </c>
      <c r="E178" t="inlineStr">
        <is>
          <t>block</t>
        </is>
      </c>
      <c r="F178" t="inlineStr">
        <is>
          <t>HTB.1</t>
        </is>
      </c>
      <c r="G178" t="inlineStr">
        <is>
          <t>5.11</t>
        </is>
      </c>
      <c r="H178" t="n">
        <v>24</v>
      </c>
      <c r="I178" t="n">
        <v>40.61</v>
      </c>
      <c r="J178" t="n">
        <v>-4.44</v>
      </c>
      <c r="K178" t="n">
        <v>-28.33</v>
      </c>
      <c r="L178">
        <f>ROUND(SQRT((I178-I170)^2+(J178-J170)^2+(K178-K170)^2),2)</f>
        <v/>
      </c>
      <c r="M178" t="inlineStr">
        <is>
          <t>measured</t>
        </is>
      </c>
    </row>
    <row r="179">
      <c r="A179" t="inlineStr">
        <is>
          <t>40C_10RH_chamber</t>
        </is>
      </c>
      <c r="B179" t="inlineStr">
        <is>
          <t>40 C / 10%RH (chamber arm)</t>
        </is>
      </c>
      <c r="C179" t="inlineStr">
        <is>
          <t>measured</t>
        </is>
      </c>
      <c r="D179" t="inlineStr">
        <is>
          <t>Azurite</t>
        </is>
      </c>
      <c r="E179" t="inlineStr">
        <is>
          <t>block</t>
        </is>
      </c>
      <c r="F179" t="inlineStr">
        <is>
          <t>HTB.1</t>
        </is>
      </c>
      <c r="G179" t="inlineStr">
        <is>
          <t>5.12</t>
        </is>
      </c>
      <c r="H179" t="n">
        <v>25</v>
      </c>
      <c r="I179" t="n">
        <v>42.72</v>
      </c>
      <c r="J179" t="n">
        <v>-5.53</v>
      </c>
      <c r="K179" t="n">
        <v>-28.76</v>
      </c>
      <c r="L179">
        <f>ROUND(SQRT((I179-I170)^2+(J179-J170)^2+(K179-K170)^2),2)</f>
        <v/>
      </c>
      <c r="M179" t="inlineStr">
        <is>
          <t>measured</t>
        </is>
      </c>
    </row>
    <row r="180">
      <c r="A180" t="inlineStr">
        <is>
          <t>40C_10RH_chamber</t>
        </is>
      </c>
      <c r="B180" t="inlineStr">
        <is>
          <t>40 C / 10%RH (chamber arm)</t>
        </is>
      </c>
      <c r="C180" t="inlineStr">
        <is>
          <t>measured</t>
        </is>
      </c>
      <c r="D180" t="inlineStr">
        <is>
          <t>Azurite</t>
        </is>
      </c>
      <c r="E180" t="inlineStr">
        <is>
          <t>block</t>
        </is>
      </c>
      <c r="F180" t="inlineStr">
        <is>
          <t>HTB.1</t>
        </is>
      </c>
      <c r="G180" t="inlineStr">
        <is>
          <t>5.14</t>
        </is>
      </c>
      <c r="H180" t="n">
        <v>27</v>
      </c>
      <c r="I180" t="n">
        <v>42.34</v>
      </c>
      <c r="J180" t="n">
        <v>-4.47</v>
      </c>
      <c r="K180" t="n">
        <v>-27.93</v>
      </c>
      <c r="L180">
        <f>ROUND(SQRT((I180-I170)^2+(J180-J170)^2+(K180-K170)^2),2)</f>
        <v/>
      </c>
      <c r="M180" t="inlineStr">
        <is>
          <t>measured</t>
        </is>
      </c>
    </row>
    <row r="181">
      <c r="A181" t="inlineStr">
        <is>
          <t>40C_10RH_chamber</t>
        </is>
      </c>
      <c r="B181" t="inlineStr">
        <is>
          <t>40 C / 10%RH (chamber arm)</t>
        </is>
      </c>
      <c r="C181" t="inlineStr">
        <is>
          <t>measured</t>
        </is>
      </c>
      <c r="D181" t="inlineStr">
        <is>
          <t>Azurite</t>
        </is>
      </c>
      <c r="E181" t="inlineStr">
        <is>
          <t>block</t>
        </is>
      </c>
      <c r="F181" t="inlineStr">
        <is>
          <t>HTB.1</t>
        </is>
      </c>
      <c r="G181" t="inlineStr">
        <is>
          <t>5.18</t>
        </is>
      </c>
      <c r="H181" t="n">
        <v>31</v>
      </c>
      <c r="I181" t="n">
        <v>41.82</v>
      </c>
      <c r="J181" t="n">
        <v>-4.49</v>
      </c>
      <c r="K181" t="n">
        <v>-27.66</v>
      </c>
      <c r="L181">
        <f>ROUND(SQRT((I181-I170)^2+(J181-J170)^2+(K181-K170)^2),2)</f>
        <v/>
      </c>
      <c r="M181" t="inlineStr">
        <is>
          <t>measured</t>
        </is>
      </c>
    </row>
    <row r="182">
      <c r="A182" t="inlineStr">
        <is>
          <t>40C_10RH_chamber</t>
        </is>
      </c>
      <c r="B182" t="inlineStr">
        <is>
          <t>40 C / 10%RH (chamber arm)</t>
        </is>
      </c>
      <c r="C182" t="inlineStr">
        <is>
          <t>measured</t>
        </is>
      </c>
      <c r="D182" t="inlineStr">
        <is>
          <t>Azurite</t>
        </is>
      </c>
      <c r="E182" t="inlineStr">
        <is>
          <t>block</t>
        </is>
      </c>
      <c r="F182" t="inlineStr">
        <is>
          <t>HTB.1</t>
        </is>
      </c>
      <c r="G182" t="inlineStr">
        <is>
          <t>5.21</t>
        </is>
      </c>
      <c r="H182" t="n">
        <v>34</v>
      </c>
      <c r="I182" t="n">
        <v>40.71</v>
      </c>
      <c r="J182" t="n">
        <v>-4.37</v>
      </c>
      <c r="K182" t="n">
        <v>-27.91</v>
      </c>
      <c r="L182">
        <f>ROUND(SQRT((I182-I170)^2+(J182-J170)^2+(K182-K170)^2),2)</f>
        <v/>
      </c>
      <c r="M182" t="inlineStr">
        <is>
          <t>measured</t>
        </is>
      </c>
    </row>
    <row r="183">
      <c r="A183" t="inlineStr">
        <is>
          <t>40C_10RH_chamber</t>
        </is>
      </c>
      <c r="B183" t="inlineStr">
        <is>
          <t>40 C / 10%RH (chamber arm)</t>
        </is>
      </c>
      <c r="C183" t="inlineStr">
        <is>
          <t>measured</t>
        </is>
      </c>
      <c r="D183" t="inlineStr">
        <is>
          <t>Azurite</t>
        </is>
      </c>
      <c r="E183" t="inlineStr">
        <is>
          <t>block</t>
        </is>
      </c>
      <c r="F183" t="inlineStr">
        <is>
          <t>HTB.1</t>
        </is>
      </c>
      <c r="G183" t="inlineStr">
        <is>
          <t>5.24</t>
        </is>
      </c>
      <c r="H183" t="n">
        <v>37</v>
      </c>
      <c r="I183" t="n">
        <v>41.84</v>
      </c>
      <c r="J183" t="n">
        <v>-4.68</v>
      </c>
      <c r="K183" t="n">
        <v>-28.37</v>
      </c>
      <c r="L183">
        <f>ROUND(SQRT((I183-I170)^2+(J183-J170)^2+(K183-K170)^2),2)</f>
        <v/>
      </c>
      <c r="M183" t="inlineStr">
        <is>
          <t>measured</t>
        </is>
      </c>
    </row>
    <row r="184">
      <c r="A184" t="inlineStr">
        <is>
          <t>40C_10RH_chamber</t>
        </is>
      </c>
      <c r="B184" t="inlineStr">
        <is>
          <t>40 C / 10%RH (chamber arm)</t>
        </is>
      </c>
      <c r="C184" t="inlineStr">
        <is>
          <t>measured</t>
        </is>
      </c>
      <c r="D184" t="inlineStr">
        <is>
          <t>Azurite</t>
        </is>
      </c>
      <c r="E184" t="inlineStr">
        <is>
          <t>block</t>
        </is>
      </c>
      <c r="F184" t="inlineStr">
        <is>
          <t>HTB.1</t>
        </is>
      </c>
      <c r="G184" t="inlineStr">
        <is>
          <t>5.28</t>
        </is>
      </c>
      <c r="H184" t="n">
        <v>41</v>
      </c>
      <c r="I184" t="n">
        <v>40.97</v>
      </c>
      <c r="J184" t="n">
        <v>-4.61</v>
      </c>
      <c r="K184" t="n">
        <v>-29.58</v>
      </c>
      <c r="L184">
        <f>ROUND(SQRT((I184-I170)^2+(J184-J170)^2+(K184-K170)^2),2)</f>
        <v/>
      </c>
      <c r="M184" t="inlineStr">
        <is>
          <t>measured</t>
        </is>
      </c>
    </row>
    <row r="185">
      <c r="A185" t="inlineStr">
        <is>
          <t>40C_10RH_chamber</t>
        </is>
      </c>
      <c r="B185" t="inlineStr">
        <is>
          <t>40 C / 10%RH (chamber arm)</t>
        </is>
      </c>
      <c r="C185" t="inlineStr">
        <is>
          <t>measured</t>
        </is>
      </c>
      <c r="D185" t="inlineStr">
        <is>
          <t>Azurite</t>
        </is>
      </c>
      <c r="E185" t="inlineStr">
        <is>
          <t>block</t>
        </is>
      </c>
      <c r="F185" t="inlineStr">
        <is>
          <t>HTB.1</t>
        </is>
      </c>
      <c r="G185" t="inlineStr">
        <is>
          <t>5.31</t>
        </is>
      </c>
      <c r="H185" t="n">
        <v>44</v>
      </c>
      <c r="I185" t="n">
        <v>42.82</v>
      </c>
      <c r="J185" t="n">
        <v>-4.34</v>
      </c>
      <c r="K185" t="n">
        <v>-27.51</v>
      </c>
      <c r="L185">
        <f>ROUND(SQRT((I185-I170)^2+(J185-J170)^2+(K185-K170)^2),2)</f>
        <v/>
      </c>
      <c r="M185" t="inlineStr">
        <is>
          <t>measured</t>
        </is>
      </c>
    </row>
    <row r="186">
      <c r="A186" t="inlineStr">
        <is>
          <t>40C_10RH_chamber</t>
        </is>
      </c>
      <c r="B186" t="inlineStr">
        <is>
          <t>40 C / 10%RH (chamber arm)</t>
        </is>
      </c>
      <c r="C186" t="inlineStr">
        <is>
          <t>measured</t>
        </is>
      </c>
      <c r="D186" t="inlineStr">
        <is>
          <t>Azurite</t>
        </is>
      </c>
      <c r="E186" t="inlineStr">
        <is>
          <t>block</t>
        </is>
      </c>
      <c r="F186" t="inlineStr">
        <is>
          <t>HTB.1</t>
        </is>
      </c>
      <c r="G186" t="inlineStr">
        <is>
          <t>6.03</t>
        </is>
      </c>
      <c r="H186" t="n">
        <v>47</v>
      </c>
      <c r="I186" t="n">
        <v>42.4</v>
      </c>
      <c r="J186" t="n">
        <v>-4.02</v>
      </c>
      <c r="K186" t="n">
        <v>-27.13</v>
      </c>
      <c r="L186">
        <f>ROUND(SQRT((I186-I170)^2+(J186-J170)^2+(K186-K170)^2),2)</f>
        <v/>
      </c>
      <c r="M186" t="inlineStr">
        <is>
          <t>measured</t>
        </is>
      </c>
    </row>
    <row r="187">
      <c r="A187" t="inlineStr">
        <is>
          <t>40C_10RH_chamber</t>
        </is>
      </c>
      <c r="B187" t="inlineStr">
        <is>
          <t>40 C / 10%RH (chamber arm)</t>
        </is>
      </c>
      <c r="C187" t="inlineStr">
        <is>
          <t>measured</t>
        </is>
      </c>
      <c r="D187" t="inlineStr">
        <is>
          <t>Azurite</t>
        </is>
      </c>
      <c r="E187" t="inlineStr">
        <is>
          <t>block</t>
        </is>
      </c>
      <c r="F187" t="inlineStr">
        <is>
          <t>HTB.1</t>
        </is>
      </c>
      <c r="G187" t="inlineStr">
        <is>
          <t>6.06</t>
        </is>
      </c>
      <c r="H187" t="n">
        <v>50</v>
      </c>
      <c r="I187" t="n">
        <v>41.94</v>
      </c>
      <c r="J187" t="n">
        <v>-4.55</v>
      </c>
      <c r="K187" t="n">
        <v>-27.47</v>
      </c>
      <c r="L187">
        <f>ROUND(SQRT((I187-I170)^2+(J187-J170)^2+(K187-K170)^2),2)</f>
        <v/>
      </c>
      <c r="M187" t="inlineStr">
        <is>
          <t>measured</t>
        </is>
      </c>
    </row>
    <row r="188">
      <c r="A188" t="inlineStr">
        <is>
          <t>40C_10RH_chamber</t>
        </is>
      </c>
      <c r="B188" t="inlineStr">
        <is>
          <t>40 C / 10%RH (chamber arm)</t>
        </is>
      </c>
      <c r="C188" t="inlineStr">
        <is>
          <t>measured</t>
        </is>
      </c>
      <c r="D188" t="inlineStr">
        <is>
          <t>Azurite</t>
        </is>
      </c>
      <c r="E188" t="inlineStr">
        <is>
          <t>block</t>
        </is>
      </c>
      <c r="F188" t="inlineStr">
        <is>
          <t>HTB.1</t>
        </is>
      </c>
      <c r="G188" t="inlineStr">
        <is>
          <t>6.09</t>
        </is>
      </c>
      <c r="H188" t="n">
        <v>53</v>
      </c>
      <c r="I188" t="n">
        <v>40.21</v>
      </c>
      <c r="J188" t="n">
        <v>-4.64</v>
      </c>
      <c r="K188" t="n">
        <v>-28.48</v>
      </c>
      <c r="L188">
        <f>ROUND(SQRT((I188-I170)^2+(J188-J170)^2+(K188-K170)^2),2)</f>
        <v/>
      </c>
      <c r="M188" t="inlineStr">
        <is>
          <t>measured</t>
        </is>
      </c>
    </row>
    <row r="189">
      <c r="A189" t="inlineStr">
        <is>
          <t>40C_10RH_chamber</t>
        </is>
      </c>
      <c r="B189" t="inlineStr">
        <is>
          <t>40 C / 10%RH (chamber arm)</t>
        </is>
      </c>
      <c r="C189" t="inlineStr">
        <is>
          <t>measured</t>
        </is>
      </c>
      <c r="D189" t="inlineStr">
        <is>
          <t>Azurite</t>
        </is>
      </c>
      <c r="E189" t="inlineStr">
        <is>
          <t>block</t>
        </is>
      </c>
      <c r="F189" t="inlineStr">
        <is>
          <t>HTB.1</t>
        </is>
      </c>
      <c r="G189" t="inlineStr">
        <is>
          <t>6.13</t>
        </is>
      </c>
      <c r="H189" t="n">
        <v>57</v>
      </c>
      <c r="I189" t="n">
        <v>41.29</v>
      </c>
      <c r="J189" t="n">
        <v>-4.31</v>
      </c>
      <c r="K189" t="n">
        <v>-27.31</v>
      </c>
      <c r="L189">
        <f>ROUND(SQRT((I189-I170)^2+(J189-J170)^2+(K189-K170)^2),2)</f>
        <v/>
      </c>
      <c r="M189" t="inlineStr">
        <is>
          <t>measured</t>
        </is>
      </c>
    </row>
    <row r="190">
      <c r="A190" t="inlineStr">
        <is>
          <t>40C_10RH_chamber</t>
        </is>
      </c>
      <c r="B190" t="inlineStr">
        <is>
          <t>40 C / 10%RH (chamber arm)</t>
        </is>
      </c>
      <c r="C190" t="inlineStr">
        <is>
          <t>measured</t>
        </is>
      </c>
      <c r="D190" t="inlineStr">
        <is>
          <t>Azurite</t>
        </is>
      </c>
      <c r="E190" t="inlineStr">
        <is>
          <t>block</t>
        </is>
      </c>
      <c r="F190" t="inlineStr">
        <is>
          <t>HTB.1</t>
        </is>
      </c>
      <c r="G190" t="inlineStr">
        <is>
          <t>6.17</t>
        </is>
      </c>
      <c r="H190" t="n">
        <v>61</v>
      </c>
      <c r="I190" t="n">
        <v>42.51</v>
      </c>
      <c r="J190" t="n">
        <v>-5.73</v>
      </c>
      <c r="K190" t="n">
        <v>-27.1</v>
      </c>
      <c r="L190">
        <f>ROUND(SQRT((I190-I170)^2+(J190-J170)^2+(K190-K170)^2),2)</f>
        <v/>
      </c>
      <c r="M190" t="inlineStr">
        <is>
          <t>measured</t>
        </is>
      </c>
    </row>
    <row r="191">
      <c r="A191" t="inlineStr">
        <is>
          <t>40C_10RH_chamber</t>
        </is>
      </c>
      <c r="B191" t="inlineStr">
        <is>
          <t>40 C / 10%RH (chamber arm)</t>
        </is>
      </c>
      <c r="C191" t="inlineStr">
        <is>
          <t>measured</t>
        </is>
      </c>
      <c r="D191" t="inlineStr">
        <is>
          <t>Azurite</t>
        </is>
      </c>
      <c r="E191" t="inlineStr">
        <is>
          <t>block</t>
        </is>
      </c>
      <c r="F191" t="inlineStr">
        <is>
          <t>HTB.2</t>
        </is>
      </c>
      <c r="G191" t="inlineStr">
        <is>
          <t>4.17</t>
        </is>
      </c>
      <c r="H191" t="n">
        <v>0</v>
      </c>
      <c r="I191" t="n">
        <v>39.08</v>
      </c>
      <c r="J191" t="n">
        <v>-6.04</v>
      </c>
      <c r="K191" t="n">
        <v>-28.25</v>
      </c>
      <c r="L191" t="n">
        <v>0</v>
      </c>
      <c r="M191" t="inlineStr">
        <is>
          <t>measured</t>
        </is>
      </c>
    </row>
    <row r="192">
      <c r="A192" t="inlineStr">
        <is>
          <t>40C_10RH_chamber</t>
        </is>
      </c>
      <c r="B192" t="inlineStr">
        <is>
          <t>40 C / 10%RH (chamber arm)</t>
        </is>
      </c>
      <c r="C192" t="inlineStr">
        <is>
          <t>measured</t>
        </is>
      </c>
      <c r="D192" t="inlineStr">
        <is>
          <t>Azurite</t>
        </is>
      </c>
      <c r="E192" t="inlineStr">
        <is>
          <t>block</t>
        </is>
      </c>
      <c r="F192" t="inlineStr">
        <is>
          <t>HTB.2</t>
        </is>
      </c>
      <c r="G192" t="inlineStr">
        <is>
          <t>4.20</t>
        </is>
      </c>
      <c r="H192" t="n">
        <v>3</v>
      </c>
      <c r="I192" t="n">
        <v>38.54</v>
      </c>
      <c r="J192" t="n">
        <v>-5.6</v>
      </c>
      <c r="K192" t="n">
        <v>-27.65</v>
      </c>
      <c r="L192">
        <f>ROUND(SQRT((I192-I191)^2+(J192-J191)^2+(K192-K191)^2),2)</f>
        <v/>
      </c>
      <c r="M192" t="inlineStr">
        <is>
          <t>measured</t>
        </is>
      </c>
    </row>
    <row r="193">
      <c r="A193" t="inlineStr">
        <is>
          <t>40C_10RH_chamber</t>
        </is>
      </c>
      <c r="B193" t="inlineStr">
        <is>
          <t>40 C / 10%RH (chamber arm)</t>
        </is>
      </c>
      <c r="C193" t="inlineStr">
        <is>
          <t>measured</t>
        </is>
      </c>
      <c r="D193" t="inlineStr">
        <is>
          <t>Azurite</t>
        </is>
      </c>
      <c r="E193" t="inlineStr">
        <is>
          <t>block</t>
        </is>
      </c>
      <c r="F193" t="inlineStr">
        <is>
          <t>HTB.2</t>
        </is>
      </c>
      <c r="G193" t="inlineStr">
        <is>
          <t>4.23</t>
        </is>
      </c>
      <c r="H193" t="n">
        <v>6</v>
      </c>
      <c r="I193" t="n">
        <v>39.07</v>
      </c>
      <c r="J193" t="n">
        <v>-6.53</v>
      </c>
      <c r="K193" t="n">
        <v>-28.66</v>
      </c>
      <c r="L193">
        <f>ROUND(SQRT((I193-I191)^2+(J193-J191)^2+(K193-K191)^2),2)</f>
        <v/>
      </c>
      <c r="M193" t="inlineStr">
        <is>
          <t>measured</t>
        </is>
      </c>
    </row>
    <row r="194">
      <c r="A194" t="inlineStr">
        <is>
          <t>40C_10RH_chamber</t>
        </is>
      </c>
      <c r="B194" t="inlineStr">
        <is>
          <t>40 C / 10%RH (chamber arm)</t>
        </is>
      </c>
      <c r="C194" t="inlineStr">
        <is>
          <t>measured</t>
        </is>
      </c>
      <c r="D194" t="inlineStr">
        <is>
          <t>Azurite</t>
        </is>
      </c>
      <c r="E194" t="inlineStr">
        <is>
          <t>block</t>
        </is>
      </c>
      <c r="F194" t="inlineStr">
        <is>
          <t>HTB.2</t>
        </is>
      </c>
      <c r="G194" t="inlineStr">
        <is>
          <t>4.26</t>
        </is>
      </c>
      <c r="H194" t="n">
        <v>9</v>
      </c>
      <c r="I194" t="n">
        <v>39.82</v>
      </c>
      <c r="J194" t="n">
        <v>-5.94</v>
      </c>
      <c r="K194" t="n">
        <v>-28.71</v>
      </c>
      <c r="L194">
        <f>ROUND(SQRT((I194-I191)^2+(J194-J191)^2+(K194-K191)^2),2)</f>
        <v/>
      </c>
      <c r="M194" t="inlineStr">
        <is>
          <t>measured</t>
        </is>
      </c>
    </row>
    <row r="195">
      <c r="A195" t="inlineStr">
        <is>
          <t>40C_10RH_chamber</t>
        </is>
      </c>
      <c r="B195" t="inlineStr">
        <is>
          <t>40 C / 10%RH (chamber arm)</t>
        </is>
      </c>
      <c r="C195" t="inlineStr">
        <is>
          <t>measured</t>
        </is>
      </c>
      <c r="D195" t="inlineStr">
        <is>
          <t>Azurite</t>
        </is>
      </c>
      <c r="E195" t="inlineStr">
        <is>
          <t>block</t>
        </is>
      </c>
      <c r="F195" t="inlineStr">
        <is>
          <t>HTB.2</t>
        </is>
      </c>
      <c r="G195" t="inlineStr">
        <is>
          <t>4.29</t>
        </is>
      </c>
      <c r="H195" t="n">
        <v>12</v>
      </c>
      <c r="I195" t="n">
        <v>39.41</v>
      </c>
      <c r="J195" t="n">
        <v>-6.34</v>
      </c>
      <c r="K195" t="n">
        <v>-29.12</v>
      </c>
      <c r="L195">
        <f>ROUND(SQRT((I195-I191)^2+(J195-J191)^2+(K195-K191)^2),2)</f>
        <v/>
      </c>
      <c r="M195" t="inlineStr">
        <is>
          <t>measured</t>
        </is>
      </c>
    </row>
    <row r="196">
      <c r="A196" t="inlineStr">
        <is>
          <t>40C_10RH_chamber</t>
        </is>
      </c>
      <c r="B196" t="inlineStr">
        <is>
          <t>40 C / 10%RH (chamber arm)</t>
        </is>
      </c>
      <c r="C196" t="inlineStr">
        <is>
          <t>measured</t>
        </is>
      </c>
      <c r="D196" t="inlineStr">
        <is>
          <t>Azurite</t>
        </is>
      </c>
      <c r="E196" t="inlineStr">
        <is>
          <t>block</t>
        </is>
      </c>
      <c r="F196" t="inlineStr">
        <is>
          <t>HTB.2</t>
        </is>
      </c>
      <c r="G196" t="inlineStr">
        <is>
          <t>5.02</t>
        </is>
      </c>
      <c r="H196" t="n">
        <v>15</v>
      </c>
      <c r="I196" t="n">
        <v>38.66</v>
      </c>
      <c r="J196" t="n">
        <v>-5.68</v>
      </c>
      <c r="K196" t="n">
        <v>-29.04</v>
      </c>
      <c r="L196">
        <f>ROUND(SQRT((I196-I191)^2+(J196-J191)^2+(K196-K191)^2),2)</f>
        <v/>
      </c>
      <c r="M196" t="inlineStr">
        <is>
          <t>measured</t>
        </is>
      </c>
    </row>
    <row r="197">
      <c r="A197" t="inlineStr">
        <is>
          <t>40C_10RH_chamber</t>
        </is>
      </c>
      <c r="B197" t="inlineStr">
        <is>
          <t>40 C / 10%RH (chamber arm)</t>
        </is>
      </c>
      <c r="C197" t="inlineStr">
        <is>
          <t>measured</t>
        </is>
      </c>
      <c r="D197" t="inlineStr">
        <is>
          <t>Azurite</t>
        </is>
      </c>
      <c r="E197" t="inlineStr">
        <is>
          <t>block</t>
        </is>
      </c>
      <c r="F197" t="inlineStr">
        <is>
          <t>HTB.2</t>
        </is>
      </c>
      <c r="G197" t="inlineStr">
        <is>
          <t>5.05</t>
        </is>
      </c>
      <c r="H197" t="n">
        <v>18</v>
      </c>
      <c r="I197" t="n">
        <v>39.81</v>
      </c>
      <c r="J197" t="n">
        <v>-5.84</v>
      </c>
      <c r="K197" t="n">
        <v>-29.58</v>
      </c>
      <c r="L197">
        <f>ROUND(SQRT((I197-I191)^2+(J197-J191)^2+(K197-K191)^2),2)</f>
        <v/>
      </c>
      <c r="M197" t="inlineStr">
        <is>
          <t>measured</t>
        </is>
      </c>
    </row>
    <row r="198">
      <c r="A198" t="inlineStr">
        <is>
          <t>40C_10RH_chamber</t>
        </is>
      </c>
      <c r="B198" t="inlineStr">
        <is>
          <t>40 C / 10%RH (chamber arm)</t>
        </is>
      </c>
      <c r="C198" t="inlineStr">
        <is>
          <t>measured</t>
        </is>
      </c>
      <c r="D198" t="inlineStr">
        <is>
          <t>Azurite</t>
        </is>
      </c>
      <c r="E198" t="inlineStr">
        <is>
          <t>block</t>
        </is>
      </c>
      <c r="F198" t="inlineStr">
        <is>
          <t>HTB.2</t>
        </is>
      </c>
      <c r="G198" t="inlineStr">
        <is>
          <t>5.08</t>
        </is>
      </c>
      <c r="H198" t="n">
        <v>21</v>
      </c>
      <c r="I198" t="n">
        <v>40</v>
      </c>
      <c r="J198" t="n">
        <v>-6.68</v>
      </c>
      <c r="K198" t="n">
        <v>-27.8</v>
      </c>
      <c r="L198">
        <f>ROUND(SQRT((I198-I191)^2+(J198-J191)^2+(K198-K191)^2),2)</f>
        <v/>
      </c>
      <c r="M198" t="inlineStr">
        <is>
          <t>measured</t>
        </is>
      </c>
    </row>
    <row r="199">
      <c r="A199" t="inlineStr">
        <is>
          <t>40C_10RH_chamber</t>
        </is>
      </c>
      <c r="B199" t="inlineStr">
        <is>
          <t>40 C / 10%RH (chamber arm)</t>
        </is>
      </c>
      <c r="C199" t="inlineStr">
        <is>
          <t>measured</t>
        </is>
      </c>
      <c r="D199" t="inlineStr">
        <is>
          <t>Azurite</t>
        </is>
      </c>
      <c r="E199" t="inlineStr">
        <is>
          <t>block</t>
        </is>
      </c>
      <c r="F199" t="inlineStr">
        <is>
          <t>HTB.2</t>
        </is>
      </c>
      <c r="G199" t="inlineStr">
        <is>
          <t>5.11</t>
        </is>
      </c>
      <c r="H199" t="n">
        <v>24</v>
      </c>
      <c r="I199" t="n">
        <v>39.72</v>
      </c>
      <c r="J199" t="n">
        <v>-6.33</v>
      </c>
      <c r="K199" t="n">
        <v>-27.05</v>
      </c>
      <c r="L199">
        <f>ROUND(SQRT((I199-I191)^2+(J199-J191)^2+(K199-K191)^2),2)</f>
        <v/>
      </c>
      <c r="M199" t="inlineStr">
        <is>
          <t>measured</t>
        </is>
      </c>
    </row>
    <row r="200">
      <c r="A200" t="inlineStr">
        <is>
          <t>40C_10RH_chamber</t>
        </is>
      </c>
      <c r="B200" t="inlineStr">
        <is>
          <t>40 C / 10%RH (chamber arm)</t>
        </is>
      </c>
      <c r="C200" t="inlineStr">
        <is>
          <t>measured</t>
        </is>
      </c>
      <c r="D200" t="inlineStr">
        <is>
          <t>Azurite</t>
        </is>
      </c>
      <c r="E200" t="inlineStr">
        <is>
          <t>block</t>
        </is>
      </c>
      <c r="F200" t="inlineStr">
        <is>
          <t>HTB.2</t>
        </is>
      </c>
      <c r="G200" t="inlineStr">
        <is>
          <t>5.12</t>
        </is>
      </c>
      <c r="H200" t="n">
        <v>25</v>
      </c>
      <c r="I200" t="n">
        <v>39.84</v>
      </c>
      <c r="J200" t="n">
        <v>-5.49</v>
      </c>
      <c r="K200" t="n">
        <v>-27.32</v>
      </c>
      <c r="L200">
        <f>ROUND(SQRT((I200-I191)^2+(J200-J191)^2+(K200-K191)^2),2)</f>
        <v/>
      </c>
      <c r="M200" t="inlineStr">
        <is>
          <t>measured</t>
        </is>
      </c>
    </row>
    <row r="201">
      <c r="A201" t="inlineStr">
        <is>
          <t>40C_10RH_chamber</t>
        </is>
      </c>
      <c r="B201" t="inlineStr">
        <is>
          <t>40 C / 10%RH (chamber arm)</t>
        </is>
      </c>
      <c r="C201" t="inlineStr">
        <is>
          <t>measured</t>
        </is>
      </c>
      <c r="D201" t="inlineStr">
        <is>
          <t>Azurite</t>
        </is>
      </c>
      <c r="E201" t="inlineStr">
        <is>
          <t>block</t>
        </is>
      </c>
      <c r="F201" t="inlineStr">
        <is>
          <t>HTB.2</t>
        </is>
      </c>
      <c r="G201" t="inlineStr">
        <is>
          <t>5.14</t>
        </is>
      </c>
      <c r="H201" t="n">
        <v>27</v>
      </c>
      <c r="I201" t="n">
        <v>39.55</v>
      </c>
      <c r="J201" t="n">
        <v>-5.96</v>
      </c>
      <c r="K201" t="n">
        <v>-29.46</v>
      </c>
      <c r="L201">
        <f>ROUND(SQRT((I201-I191)^2+(J201-J191)^2+(K201-K191)^2),2)</f>
        <v/>
      </c>
      <c r="M201" t="inlineStr">
        <is>
          <t>measured</t>
        </is>
      </c>
    </row>
    <row r="202">
      <c r="A202" t="inlineStr">
        <is>
          <t>40C_10RH_chamber</t>
        </is>
      </c>
      <c r="B202" t="inlineStr">
        <is>
          <t>40 C / 10%RH (chamber arm)</t>
        </is>
      </c>
      <c r="C202" t="inlineStr">
        <is>
          <t>measured</t>
        </is>
      </c>
      <c r="D202" t="inlineStr">
        <is>
          <t>Azurite</t>
        </is>
      </c>
      <c r="E202" t="inlineStr">
        <is>
          <t>block</t>
        </is>
      </c>
      <c r="F202" t="inlineStr">
        <is>
          <t>HTB.2</t>
        </is>
      </c>
      <c r="G202" t="inlineStr">
        <is>
          <t>5.18</t>
        </is>
      </c>
      <c r="H202" t="n">
        <v>31</v>
      </c>
      <c r="I202" t="n">
        <v>40.87</v>
      </c>
      <c r="J202" t="n">
        <v>-7.24</v>
      </c>
      <c r="K202" t="n">
        <v>-27.83</v>
      </c>
      <c r="L202">
        <f>ROUND(SQRT((I202-I191)^2+(J202-J191)^2+(K202-K191)^2),2)</f>
        <v/>
      </c>
      <c r="M202" t="inlineStr">
        <is>
          <t>measured</t>
        </is>
      </c>
    </row>
    <row r="203">
      <c r="A203" t="inlineStr">
        <is>
          <t>40C_10RH_chamber</t>
        </is>
      </c>
      <c r="B203" t="inlineStr">
        <is>
          <t>40 C / 10%RH (chamber arm)</t>
        </is>
      </c>
      <c r="C203" t="inlineStr">
        <is>
          <t>measured</t>
        </is>
      </c>
      <c r="D203" t="inlineStr">
        <is>
          <t>Azurite</t>
        </is>
      </c>
      <c r="E203" t="inlineStr">
        <is>
          <t>block</t>
        </is>
      </c>
      <c r="F203" t="inlineStr">
        <is>
          <t>HTB.2</t>
        </is>
      </c>
      <c r="G203" t="inlineStr">
        <is>
          <t>5.21</t>
        </is>
      </c>
      <c r="H203" t="n">
        <v>34</v>
      </c>
      <c r="I203" t="n">
        <v>39.27</v>
      </c>
      <c r="J203" t="n">
        <v>-5.83</v>
      </c>
      <c r="K203" t="n">
        <v>-27.35</v>
      </c>
      <c r="L203">
        <f>ROUND(SQRT((I203-I191)^2+(J203-J191)^2+(K203-K191)^2),2)</f>
        <v/>
      </c>
      <c r="M203" t="inlineStr">
        <is>
          <t>measured</t>
        </is>
      </c>
    </row>
    <row r="204">
      <c r="A204" t="inlineStr">
        <is>
          <t>40C_10RH_chamber</t>
        </is>
      </c>
      <c r="B204" t="inlineStr">
        <is>
          <t>40 C / 10%RH (chamber arm)</t>
        </is>
      </c>
      <c r="C204" t="inlineStr">
        <is>
          <t>measured</t>
        </is>
      </c>
      <c r="D204" t="inlineStr">
        <is>
          <t>Azurite</t>
        </is>
      </c>
      <c r="E204" t="inlineStr">
        <is>
          <t>block</t>
        </is>
      </c>
      <c r="F204" t="inlineStr">
        <is>
          <t>HTB.2</t>
        </is>
      </c>
      <c r="G204" t="inlineStr">
        <is>
          <t>5.24</t>
        </is>
      </c>
      <c r="H204" t="n">
        <v>37</v>
      </c>
      <c r="I204" t="n">
        <v>39.56</v>
      </c>
      <c r="J204" t="n">
        <v>-7.07</v>
      </c>
      <c r="K204" t="n">
        <v>-28.67</v>
      </c>
      <c r="L204">
        <f>ROUND(SQRT((I204-I191)^2+(J204-J191)^2+(K204-K191)^2),2)</f>
        <v/>
      </c>
      <c r="M204" t="inlineStr">
        <is>
          <t>measured</t>
        </is>
      </c>
    </row>
    <row r="205">
      <c r="A205" t="inlineStr">
        <is>
          <t>40C_10RH_chamber</t>
        </is>
      </c>
      <c r="B205" t="inlineStr">
        <is>
          <t>40 C / 10%RH (chamber arm)</t>
        </is>
      </c>
      <c r="C205" t="inlineStr">
        <is>
          <t>measured</t>
        </is>
      </c>
      <c r="D205" t="inlineStr">
        <is>
          <t>Azurite</t>
        </is>
      </c>
      <c r="E205" t="inlineStr">
        <is>
          <t>block</t>
        </is>
      </c>
      <c r="F205" t="inlineStr">
        <is>
          <t>HTB.2</t>
        </is>
      </c>
      <c r="G205" t="inlineStr">
        <is>
          <t>5.28</t>
        </is>
      </c>
      <c r="H205" t="n">
        <v>41</v>
      </c>
      <c r="I205" t="n">
        <v>40.08</v>
      </c>
      <c r="J205" t="n">
        <v>-5.35</v>
      </c>
      <c r="K205" t="n">
        <v>-28.29</v>
      </c>
      <c r="L205">
        <f>ROUND(SQRT((I205-I191)^2+(J205-J191)^2+(K205-K191)^2),2)</f>
        <v/>
      </c>
      <c r="M205" t="inlineStr">
        <is>
          <t>measured</t>
        </is>
      </c>
    </row>
    <row r="206">
      <c r="A206" t="inlineStr">
        <is>
          <t>40C_10RH_chamber</t>
        </is>
      </c>
      <c r="B206" t="inlineStr">
        <is>
          <t>40 C / 10%RH (chamber arm)</t>
        </is>
      </c>
      <c r="C206" t="inlineStr">
        <is>
          <t>measured</t>
        </is>
      </c>
      <c r="D206" t="inlineStr">
        <is>
          <t>Azurite</t>
        </is>
      </c>
      <c r="E206" t="inlineStr">
        <is>
          <t>block</t>
        </is>
      </c>
      <c r="F206" t="inlineStr">
        <is>
          <t>HTB.2</t>
        </is>
      </c>
      <c r="G206" t="inlineStr">
        <is>
          <t>5.31</t>
        </is>
      </c>
      <c r="H206" t="n">
        <v>44</v>
      </c>
      <c r="I206" t="n">
        <v>40.76</v>
      </c>
      <c r="J206" t="n">
        <v>-5.64</v>
      </c>
      <c r="K206" t="n">
        <v>-29.77</v>
      </c>
      <c r="L206">
        <f>ROUND(SQRT((I206-I191)^2+(J206-J191)^2+(K206-K191)^2),2)</f>
        <v/>
      </c>
      <c r="M206" t="inlineStr">
        <is>
          <t>measured</t>
        </is>
      </c>
    </row>
    <row r="207">
      <c r="A207" t="inlineStr">
        <is>
          <t>40C_10RH_chamber</t>
        </is>
      </c>
      <c r="B207" t="inlineStr">
        <is>
          <t>40 C / 10%RH (chamber arm)</t>
        </is>
      </c>
      <c r="C207" t="inlineStr">
        <is>
          <t>measured</t>
        </is>
      </c>
      <c r="D207" t="inlineStr">
        <is>
          <t>Azurite</t>
        </is>
      </c>
      <c r="E207" t="inlineStr">
        <is>
          <t>block</t>
        </is>
      </c>
      <c r="F207" t="inlineStr">
        <is>
          <t>HTB.2</t>
        </is>
      </c>
      <c r="G207" t="inlineStr">
        <is>
          <t>6.03</t>
        </is>
      </c>
      <c r="H207" t="n">
        <v>47</v>
      </c>
      <c r="I207" t="n">
        <v>39.17</v>
      </c>
      <c r="J207" t="n">
        <v>-6.17</v>
      </c>
      <c r="K207" t="n">
        <v>-28.19</v>
      </c>
      <c r="L207">
        <f>ROUND(SQRT((I207-I191)^2+(J207-J191)^2+(K207-K191)^2),2)</f>
        <v/>
      </c>
      <c r="M207" t="inlineStr">
        <is>
          <t>measured</t>
        </is>
      </c>
    </row>
    <row r="208">
      <c r="A208" t="inlineStr">
        <is>
          <t>40C_10RH_chamber</t>
        </is>
      </c>
      <c r="B208" t="inlineStr">
        <is>
          <t>40 C / 10%RH (chamber arm)</t>
        </is>
      </c>
      <c r="C208" t="inlineStr">
        <is>
          <t>measured</t>
        </is>
      </c>
      <c r="D208" t="inlineStr">
        <is>
          <t>Azurite</t>
        </is>
      </c>
      <c r="E208" t="inlineStr">
        <is>
          <t>block</t>
        </is>
      </c>
      <c r="F208" t="inlineStr">
        <is>
          <t>HTB.2</t>
        </is>
      </c>
      <c r="G208" t="inlineStr">
        <is>
          <t>6.06</t>
        </is>
      </c>
      <c r="H208" t="n">
        <v>50</v>
      </c>
      <c r="I208" t="n">
        <v>39.37</v>
      </c>
      <c r="J208" t="n">
        <v>-6.29</v>
      </c>
      <c r="K208" t="n">
        <v>-29.13</v>
      </c>
      <c r="L208">
        <f>ROUND(SQRT((I208-I191)^2+(J208-J191)^2+(K208-K191)^2),2)</f>
        <v/>
      </c>
      <c r="M208" t="inlineStr">
        <is>
          <t>measured</t>
        </is>
      </c>
    </row>
    <row r="209">
      <c r="A209" t="inlineStr">
        <is>
          <t>40C_10RH_chamber</t>
        </is>
      </c>
      <c r="B209" t="inlineStr">
        <is>
          <t>40 C / 10%RH (chamber arm)</t>
        </is>
      </c>
      <c r="C209" t="inlineStr">
        <is>
          <t>measured</t>
        </is>
      </c>
      <c r="D209" t="inlineStr">
        <is>
          <t>Azurite</t>
        </is>
      </c>
      <c r="E209" t="inlineStr">
        <is>
          <t>block</t>
        </is>
      </c>
      <c r="F209" t="inlineStr">
        <is>
          <t>HTB.2</t>
        </is>
      </c>
      <c r="G209" t="inlineStr">
        <is>
          <t>6.09</t>
        </is>
      </c>
      <c r="H209" t="n">
        <v>53</v>
      </c>
      <c r="I209" t="n">
        <v>38.93</v>
      </c>
      <c r="J209" t="n">
        <v>-6.57</v>
      </c>
      <c r="K209" t="n">
        <v>-28.25</v>
      </c>
      <c r="L209">
        <f>ROUND(SQRT((I209-I191)^2+(J209-J191)^2+(K209-K191)^2),2)</f>
        <v/>
      </c>
      <c r="M209" t="inlineStr">
        <is>
          <t>measured</t>
        </is>
      </c>
    </row>
    <row r="210">
      <c r="A210" t="inlineStr">
        <is>
          <t>40C_10RH_chamber</t>
        </is>
      </c>
      <c r="B210" t="inlineStr">
        <is>
          <t>40 C / 10%RH (chamber arm)</t>
        </is>
      </c>
      <c r="C210" t="inlineStr">
        <is>
          <t>measured</t>
        </is>
      </c>
      <c r="D210" t="inlineStr">
        <is>
          <t>Azurite</t>
        </is>
      </c>
      <c r="E210" t="inlineStr">
        <is>
          <t>block</t>
        </is>
      </c>
      <c r="F210" t="inlineStr">
        <is>
          <t>HTB.2</t>
        </is>
      </c>
      <c r="G210" t="inlineStr">
        <is>
          <t>6.13</t>
        </is>
      </c>
      <c r="H210" t="n">
        <v>57</v>
      </c>
      <c r="I210" t="n">
        <v>40.47</v>
      </c>
      <c r="J210" t="n">
        <v>-5.97</v>
      </c>
      <c r="K210" t="n">
        <v>-29.49</v>
      </c>
      <c r="L210">
        <f>ROUND(SQRT((I210-I191)^2+(J210-J191)^2+(K210-K191)^2),2)</f>
        <v/>
      </c>
      <c r="M210" t="inlineStr">
        <is>
          <t>measured</t>
        </is>
      </c>
    </row>
    <row r="211">
      <c r="A211" t="inlineStr">
        <is>
          <t>40C_10RH_chamber</t>
        </is>
      </c>
      <c r="B211" t="inlineStr">
        <is>
          <t>40 C / 10%RH (chamber arm)</t>
        </is>
      </c>
      <c r="C211" t="inlineStr">
        <is>
          <t>measured</t>
        </is>
      </c>
      <c r="D211" t="inlineStr">
        <is>
          <t>Azurite</t>
        </is>
      </c>
      <c r="E211" t="inlineStr">
        <is>
          <t>block</t>
        </is>
      </c>
      <c r="F211" t="inlineStr">
        <is>
          <t>HTB.2</t>
        </is>
      </c>
      <c r="G211" t="inlineStr">
        <is>
          <t>6.17</t>
        </is>
      </c>
      <c r="H211" t="n">
        <v>61</v>
      </c>
      <c r="I211" t="n">
        <v>39.76</v>
      </c>
      <c r="J211" t="n">
        <v>-6.74</v>
      </c>
      <c r="K211" t="n">
        <v>-28.03</v>
      </c>
      <c r="L211">
        <f>ROUND(SQRT((I211-I191)^2+(J211-J191)^2+(K211-K191)^2),2)</f>
        <v/>
      </c>
      <c r="M211" t="inlineStr">
        <is>
          <t>measured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2026-07-06T03:56:54Z</dcterms:created>
  <dcterms:modified xmlns:dcterms="http://purl.org/dc/terms/" xmlns:xsi="http://www.w3.org/2001/XMLSchema-instance" xsi:type="dcterms:W3CDTF">2026-07-06T03:56:54Z</dcterms:modified>
</cp:coreProperties>
</file>