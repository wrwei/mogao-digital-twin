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25" yWindow="2910" windowWidth="28800" windowHeight="15285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milion" sheetId="2" state="visible" r:id="rId2"/>
    <sheet xmlns:r="http://schemas.openxmlformats.org/officeDocument/2006/relationships" name="Malachite" sheetId="3" state="visible" r:id="rId3"/>
    <sheet xmlns:r="http://schemas.openxmlformats.org/officeDocument/2006/relationships" name="Azuri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4.4"/>
  <cols>
    <col width="100" customWidth="1" min="1" max="1"/>
  </cols>
  <sheetData>
    <row r="1">
      <c r="A1" s="1" t="inlineStr">
        <is>
          <t>Mogao pigment colour-change — RAW MEASURED dataset (tidy form)</t>
        </is>
      </c>
    </row>
    <row r="2">
      <c r="A2" s="2" t="n"/>
    </row>
    <row r="3">
      <c r="A3" s="2" t="inlineStr">
        <is>
          <t>Source: experiments/mogao_data.xlsx (the actual instrument measurements).</t>
        </is>
      </c>
    </row>
    <row r="4">
      <c r="A4" s="2" t="inlineStr">
        <is>
          <t>This is a FORMAT conversion only. L*a*b* values are the real measurements, UNMODIFIED:</t>
        </is>
      </c>
    </row>
    <row r="5">
      <c r="A5" s="2" t="inlineStr">
        <is>
          <t>no model, no outlier removal, no denoising, no gap-filling.</t>
        </is>
      </c>
    </row>
    <row r="6">
      <c r="A6" s="2" t="n"/>
    </row>
    <row r="7">
      <c r="A7" s="2" t="inlineStr">
        <is>
          <t>deltaE = CIE76 ΔE*ab of each spot vs its own day-0 (17 Apr) L*a*b* baseline.</t>
        </is>
      </c>
    </row>
    <row r="8">
      <c r="A8" s="2" t="n"/>
    </row>
    <row r="9">
      <c r="A9" s="2" t="inlineStr">
        <is>
          <t>Arms: two experimentally-run conditions only, distinguished by temperature and humidity.</t>
        </is>
      </c>
    </row>
    <row r="10">
      <c r="A10" s="2" t="inlineStr">
        <is>
          <t>Lighting was ambient / uncontrolled and IDENTICAL for both arms (NOT a lit/dark pair;</t>
        </is>
      </c>
    </row>
    <row r="11">
      <c r="A11" s="2" t="inlineStr">
        <is>
          <t>light was not a controlled variable, so it cannot drive any room-vs-chamber difference).</t>
        </is>
      </c>
    </row>
    <row r="12">
      <c r="A12" s="2" t="inlineStr">
        <is>
          <t>The 40C/80%RH condition was never run (empty in the source) and is absent here.</t>
        </is>
      </c>
    </row>
    <row r="13">
      <c r="A13" s="2" t="n"/>
    </row>
    <row r="14">
      <c r="A14" s="2" t="inlineStr">
        <is>
          <t>Cadence: 14 real timepoints over days 0-61, with two holiday gaps (day 12-&gt;25 and 41-&gt;53).</t>
        </is>
      </c>
    </row>
    <row r="15">
      <c r="A15" s="2" t="inlineStr">
        <is>
          <t>Spots: 3 per pigment on block tiles, 2 per pigment on pedestals.</t>
        </is>
      </c>
    </row>
    <row r="16">
      <c r="A16" s="2" t="n"/>
    </row>
    <row r="17">
      <c r="A17" s="1" t="inlineStr">
        <is>
          <t>KNOWN GROSS OUTLIERS (ΔE &gt; 8, left in place - review before use):</t>
        </is>
      </c>
    </row>
    <row r="18">
      <c r="A18" s="2" t="inlineStr">
        <is>
          <t xml:space="preserve">  23 C / 40%RH (room-temp arm) | spot NR.1 | 5.12 (day 25) | ΔE = 58.33</t>
        </is>
      </c>
    </row>
    <row r="19">
      <c r="A19" s="2" t="inlineStr">
        <is>
          <t xml:space="preserve">  23 C / 40%RH (room-temp arm) | spot NR.1 | 5.24 (day 37) | ΔE = 8.64</t>
        </is>
      </c>
    </row>
    <row r="20">
      <c r="A20" s="2" t="inlineStr">
        <is>
          <t xml:space="preserve">  23 C / 40%RH (room-temp arm) | spot NR.1 | 5.28 (day 41) | ΔE = 9.42</t>
        </is>
      </c>
    </row>
    <row r="21">
      <c r="A21" s="2" t="inlineStr">
        <is>
          <t xml:space="preserve">  23 C / 40%RH (room-temp arm) | spot NR.1 | 6.09 (day 53) | ΔE = 11.64</t>
        </is>
      </c>
    </row>
    <row r="22">
      <c r="A22" s="2" t="inlineStr">
        <is>
          <t xml:space="preserve">  23 C / 40%RH (room-temp arm) | spot NTG.1 | 6.13 (day 57) | ΔE = 58.03</t>
        </is>
      </c>
    </row>
    <row r="23">
      <c r="A23" s="2" t="inlineStr">
        <is>
          <t xml:space="preserve">  40 C / 10%RH (chamber arm) | spot HG.3 | 6.13 (day 57) | ΔE = 8.08</t>
        </is>
      </c>
    </row>
    <row r="24">
      <c r="A24" s="2" t="inlineStr">
        <is>
          <t xml:space="preserve">  40 C / 10%RH (chamber arm) | spot HTG.2 | 4.23 (day 6) | ΔE = 10.48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113" activePane="bottomLeft" state="frozen"/>
      <selection pane="bottomLeft" activeCell="J127" sqref="J127"/>
    </sheetView>
  </sheetViews>
  <sheetFormatPr baseColWidth="8" defaultRowHeight="14.4"/>
  <cols>
    <col width="22" customWidth="1" min="1" max="1"/>
    <col width="30" customWidth="1" min="2" max="2"/>
    <col width="12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11"/>
    <col width="9" customWidth="1" min="12" max="12"/>
    <col width="12" customWidth="1" min="13" max="13"/>
  </cols>
  <sheetData>
    <row r="1">
      <c r="A1" s="3" t="inlineStr">
        <is>
          <t>arm_code</t>
        </is>
      </c>
      <c r="B1" s="3" t="inlineStr">
        <is>
          <t>condition</t>
        </is>
      </c>
      <c r="C1" s="3" t="inlineStr">
        <is>
          <t>status</t>
        </is>
      </c>
      <c r="D1" s="3" t="inlineStr">
        <is>
          <t>pigment</t>
        </is>
      </c>
      <c r="E1" s="3" t="inlineStr">
        <is>
          <t>geometry</t>
        </is>
      </c>
      <c r="F1" s="3" t="inlineStr">
        <is>
          <t>spot</t>
        </is>
      </c>
      <c r="G1" s="3" t="inlineStr">
        <is>
          <t>date</t>
        </is>
      </c>
      <c r="H1" s="3" t="inlineStr">
        <is>
          <t>day</t>
        </is>
      </c>
      <c r="I1" s="3" t="inlineStr">
        <is>
          <t>L*</t>
        </is>
      </c>
      <c r="J1" s="3" t="inlineStr">
        <is>
          <t>a*</t>
        </is>
      </c>
      <c r="K1" s="3" t="inlineStr">
        <is>
          <t>b*</t>
        </is>
      </c>
      <c r="L1" s="3" t="inlineStr">
        <is>
          <t>deltaE</t>
        </is>
      </c>
      <c r="M1" s="3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Vermilion</t>
        </is>
      </c>
      <c r="E2" t="inlineStr">
        <is>
          <t>pedestal</t>
        </is>
      </c>
      <c r="F2" t="inlineStr">
        <is>
          <t>NR.1</t>
        </is>
      </c>
      <c r="G2" t="inlineStr">
        <is>
          <t>4.17</t>
        </is>
      </c>
      <c r="H2" t="n">
        <v>0</v>
      </c>
      <c r="I2" t="n">
        <v>43.42</v>
      </c>
      <c r="J2" t="n">
        <v>37.72</v>
      </c>
      <c r="K2" t="n">
        <v>22.43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Vermilion</t>
        </is>
      </c>
      <c r="E3" t="inlineStr">
        <is>
          <t>pedestal</t>
        </is>
      </c>
      <c r="F3" t="inlineStr">
        <is>
          <t>NR.1</t>
        </is>
      </c>
      <c r="G3" t="inlineStr">
        <is>
          <t>4.20</t>
        </is>
      </c>
      <c r="H3" t="n">
        <v>3</v>
      </c>
      <c r="I3" t="n">
        <v>42.76</v>
      </c>
      <c r="J3" t="n">
        <v>38.42</v>
      </c>
      <c r="K3" t="n">
        <v>23.06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Vermilion</t>
        </is>
      </c>
      <c r="E4" t="inlineStr">
        <is>
          <t>pedestal</t>
        </is>
      </c>
      <c r="F4" t="inlineStr">
        <is>
          <t>NR.1</t>
        </is>
      </c>
      <c r="G4" t="inlineStr">
        <is>
          <t>4.23</t>
        </is>
      </c>
      <c r="H4" t="n">
        <v>6</v>
      </c>
      <c r="I4" t="n">
        <v>43.22</v>
      </c>
      <c r="J4" t="n">
        <v>37.22</v>
      </c>
      <c r="K4" t="n">
        <v>23.35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Vermilion</t>
        </is>
      </c>
      <c r="E5" t="inlineStr">
        <is>
          <t>pedestal</t>
        </is>
      </c>
      <c r="F5" t="inlineStr">
        <is>
          <t>NR.1</t>
        </is>
      </c>
      <c r="G5" t="inlineStr">
        <is>
          <t>4.26</t>
        </is>
      </c>
      <c r="H5" t="n">
        <v>9</v>
      </c>
      <c r="I5" t="n">
        <v>42.55</v>
      </c>
      <c r="J5" t="n">
        <v>39.26</v>
      </c>
      <c r="K5" t="n">
        <v>23.18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Vermilion</t>
        </is>
      </c>
      <c r="E6" t="inlineStr">
        <is>
          <t>pedestal</t>
        </is>
      </c>
      <c r="F6" t="inlineStr">
        <is>
          <t>NR.1</t>
        </is>
      </c>
      <c r="G6" t="inlineStr">
        <is>
          <t>4.29</t>
        </is>
      </c>
      <c r="H6" t="n">
        <v>12</v>
      </c>
      <c r="I6" t="n">
        <v>42.2</v>
      </c>
      <c r="J6" t="n">
        <v>37.6</v>
      </c>
      <c r="K6" t="n">
        <v>23.29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Vermilion</t>
        </is>
      </c>
      <c r="E7" t="inlineStr">
        <is>
          <t>pedestal</t>
        </is>
      </c>
      <c r="F7" t="inlineStr">
        <is>
          <t>NR.1</t>
        </is>
      </c>
      <c r="G7" t="inlineStr">
        <is>
          <t>5.12</t>
        </is>
      </c>
      <c r="H7" t="n">
        <v>25</v>
      </c>
      <c r="I7" t="n">
        <v>42.12</v>
      </c>
      <c r="J7" t="n">
        <v>36.96</v>
      </c>
      <c r="K7" t="n">
        <v>21.59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Vermilion</t>
        </is>
      </c>
      <c r="E8" t="inlineStr">
        <is>
          <t>pedestal</t>
        </is>
      </c>
      <c r="F8" t="inlineStr">
        <is>
          <t>NR.1</t>
        </is>
      </c>
      <c r="G8" t="inlineStr">
        <is>
          <t>5.14</t>
        </is>
      </c>
      <c r="H8" t="n">
        <v>27</v>
      </c>
      <c r="I8" t="n">
        <v>42.01</v>
      </c>
      <c r="J8" t="n">
        <v>37.39</v>
      </c>
      <c r="K8" t="n">
        <v>22.12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Vermilion</t>
        </is>
      </c>
      <c r="E9" t="inlineStr">
        <is>
          <t>pedestal</t>
        </is>
      </c>
      <c r="F9" t="inlineStr">
        <is>
          <t>NR.1</t>
        </is>
      </c>
      <c r="G9" t="inlineStr">
        <is>
          <t>5.18</t>
        </is>
      </c>
      <c r="H9" t="n">
        <v>31</v>
      </c>
      <c r="I9" t="n">
        <v>41.99</v>
      </c>
      <c r="J9" t="n">
        <v>38.16</v>
      </c>
      <c r="K9" t="n">
        <v>23.38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Vermilion</t>
        </is>
      </c>
      <c r="E10" t="inlineStr">
        <is>
          <t>pedestal</t>
        </is>
      </c>
      <c r="F10" t="inlineStr">
        <is>
          <t>NR.1</t>
        </is>
      </c>
      <c r="G10" t="inlineStr">
        <is>
          <t>5.21</t>
        </is>
      </c>
      <c r="H10" t="n">
        <v>34</v>
      </c>
      <c r="I10" t="n">
        <v>42.88</v>
      </c>
      <c r="J10" t="n">
        <v>36.3</v>
      </c>
      <c r="K10" t="n">
        <v>22.41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Vermilion</t>
        </is>
      </c>
      <c r="E11" t="inlineStr">
        <is>
          <t>pedestal</t>
        </is>
      </c>
      <c r="F11" t="inlineStr">
        <is>
          <t>NR.1</t>
        </is>
      </c>
      <c r="G11" t="inlineStr">
        <is>
          <t>5.24</t>
        </is>
      </c>
      <c r="H11" t="n">
        <v>37</v>
      </c>
      <c r="I11" t="n">
        <v>42.87</v>
      </c>
      <c r="J11" t="n">
        <v>36.32</v>
      </c>
      <c r="K11" t="n">
        <v>22.12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Vermilion</t>
        </is>
      </c>
      <c r="E12" t="inlineStr">
        <is>
          <t>pedestal</t>
        </is>
      </c>
      <c r="F12" t="inlineStr">
        <is>
          <t>NR.1</t>
        </is>
      </c>
      <c r="G12" t="inlineStr">
        <is>
          <t>5.28</t>
        </is>
      </c>
      <c r="H12" t="n">
        <v>41</v>
      </c>
      <c r="I12" t="n">
        <v>42.46</v>
      </c>
      <c r="J12" t="n">
        <v>36.77</v>
      </c>
      <c r="K12" t="n">
        <v>22.62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Vermilion</t>
        </is>
      </c>
      <c r="E13" t="inlineStr">
        <is>
          <t>pedestal</t>
        </is>
      </c>
      <c r="F13" t="inlineStr">
        <is>
          <t>NR.1</t>
        </is>
      </c>
      <c r="G13" t="inlineStr">
        <is>
          <t>6.09</t>
        </is>
      </c>
      <c r="H13" t="n">
        <v>53</v>
      </c>
      <c r="I13" t="n">
        <v>43.75</v>
      </c>
      <c r="J13" t="n">
        <v>36.78</v>
      </c>
      <c r="K13" t="n">
        <v>21.62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Vermilion</t>
        </is>
      </c>
      <c r="E14" t="inlineStr">
        <is>
          <t>pedestal</t>
        </is>
      </c>
      <c r="F14" t="inlineStr">
        <is>
          <t>NR.1</t>
        </is>
      </c>
      <c r="G14" t="inlineStr">
        <is>
          <t>6.13</t>
        </is>
      </c>
      <c r="H14" t="n">
        <v>57</v>
      </c>
      <c r="I14" t="n">
        <v>42.88</v>
      </c>
      <c r="J14" t="n">
        <v>36.75</v>
      </c>
      <c r="K14" t="n">
        <v>21.92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Vermilion</t>
        </is>
      </c>
      <c r="E15" t="inlineStr">
        <is>
          <t>pedestal</t>
        </is>
      </c>
      <c r="F15" t="inlineStr">
        <is>
          <t>NR.1</t>
        </is>
      </c>
      <c r="G15" t="inlineStr">
        <is>
          <t>6.17</t>
        </is>
      </c>
      <c r="H15" t="n">
        <v>61</v>
      </c>
      <c r="I15" t="n">
        <v>43.42</v>
      </c>
      <c r="J15" t="n">
        <v>36.23</v>
      </c>
      <c r="K15" t="n">
        <v>21.71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Vermilion</t>
        </is>
      </c>
      <c r="E16" t="inlineStr">
        <is>
          <t>pedestal</t>
        </is>
      </c>
      <c r="F16" t="inlineStr">
        <is>
          <t>NR.2</t>
        </is>
      </c>
      <c r="G16" t="inlineStr">
        <is>
          <t>4.17</t>
        </is>
      </c>
      <c r="H16" t="n">
        <v>0</v>
      </c>
      <c r="I16" t="n">
        <v>42.84</v>
      </c>
      <c r="J16" t="n">
        <v>37.36</v>
      </c>
      <c r="K16" t="n">
        <v>22.03</v>
      </c>
      <c r="L16" t="n">
        <v>0</v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Vermilion</t>
        </is>
      </c>
      <c r="E17" t="inlineStr">
        <is>
          <t>pedestal</t>
        </is>
      </c>
      <c r="F17" t="inlineStr">
        <is>
          <t>NR.2</t>
        </is>
      </c>
      <c r="G17" t="inlineStr">
        <is>
          <t>4.20</t>
        </is>
      </c>
      <c r="H17" t="n">
        <v>3</v>
      </c>
      <c r="I17" t="n">
        <v>42.69</v>
      </c>
      <c r="J17" t="n">
        <v>36.42</v>
      </c>
      <c r="K17" t="n">
        <v>21.03</v>
      </c>
      <c r="L17">
        <f>ROUND(SQRT((I17-I16)^2+(J17-J16)^2+(K17-K16)^2),2)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Vermilion</t>
        </is>
      </c>
      <c r="E18" t="inlineStr">
        <is>
          <t>pedestal</t>
        </is>
      </c>
      <c r="F18" t="inlineStr">
        <is>
          <t>NR.2</t>
        </is>
      </c>
      <c r="G18" t="inlineStr">
        <is>
          <t>4.23</t>
        </is>
      </c>
      <c r="H18" t="n">
        <v>6</v>
      </c>
      <c r="I18" t="n">
        <v>43.47</v>
      </c>
      <c r="J18" t="n">
        <v>36.2</v>
      </c>
      <c r="K18" t="n">
        <v>21.55</v>
      </c>
      <c r="L18">
        <f>ROUND(SQRT((I18-I16)^2+(J18-J16)^2+(K18-K16)^2),2)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Vermilion</t>
        </is>
      </c>
      <c r="E19" t="inlineStr">
        <is>
          <t>pedestal</t>
        </is>
      </c>
      <c r="F19" t="inlineStr">
        <is>
          <t>NR.2</t>
        </is>
      </c>
      <c r="G19" t="inlineStr">
        <is>
          <t>4.26</t>
        </is>
      </c>
      <c r="H19" t="n">
        <v>9</v>
      </c>
      <c r="I19" t="n">
        <v>42.73</v>
      </c>
      <c r="J19" t="n">
        <v>36.1</v>
      </c>
      <c r="K19" t="n">
        <v>20.17</v>
      </c>
      <c r="L19">
        <f>ROUND(SQRT((I19-I16)^2+(J19-J16)^2+(K19-K16)^2),2)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Vermilion</t>
        </is>
      </c>
      <c r="E20" t="inlineStr">
        <is>
          <t>pedestal</t>
        </is>
      </c>
      <c r="F20" t="inlineStr">
        <is>
          <t>NR.2</t>
        </is>
      </c>
      <c r="G20" t="inlineStr">
        <is>
          <t>4.29</t>
        </is>
      </c>
      <c r="H20" t="n">
        <v>12</v>
      </c>
      <c r="I20" t="n">
        <v>44.19</v>
      </c>
      <c r="J20" t="n">
        <v>35.47</v>
      </c>
      <c r="K20" t="n">
        <v>23.13</v>
      </c>
      <c r="L20">
        <f>ROUND(SQRT((I20-I16)^2+(J20-J16)^2+(K20-K16)^2),2)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Vermilion</t>
        </is>
      </c>
      <c r="E21" t="inlineStr">
        <is>
          <t>pedestal</t>
        </is>
      </c>
      <c r="F21" t="inlineStr">
        <is>
          <t>NR.2</t>
        </is>
      </c>
      <c r="G21" t="inlineStr">
        <is>
          <t>5.12</t>
        </is>
      </c>
      <c r="H21" t="n">
        <v>25</v>
      </c>
      <c r="I21" t="n">
        <v>43.03</v>
      </c>
      <c r="J21" t="n">
        <v>38.07</v>
      </c>
      <c r="K21" t="n">
        <v>23.08</v>
      </c>
      <c r="L21">
        <f>ROUND(SQRT((I21-I16)^2+(J21-J16)^2+(K21-K16)^2),2)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Vermilion</t>
        </is>
      </c>
      <c r="E22" t="inlineStr">
        <is>
          <t>pedestal</t>
        </is>
      </c>
      <c r="F22" t="inlineStr">
        <is>
          <t>NR.2</t>
        </is>
      </c>
      <c r="G22" t="inlineStr">
        <is>
          <t>5.14</t>
        </is>
      </c>
      <c r="H22" t="n">
        <v>27</v>
      </c>
      <c r="I22" t="n">
        <v>42.43</v>
      </c>
      <c r="J22" t="n">
        <v>37.66</v>
      </c>
      <c r="K22" t="n">
        <v>22.12</v>
      </c>
      <c r="L22">
        <f>ROUND(SQRT((I22-I16)^2+(J22-J16)^2+(K22-K16)^2),2)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Vermilion</t>
        </is>
      </c>
      <c r="E23" t="inlineStr">
        <is>
          <t>pedestal</t>
        </is>
      </c>
      <c r="F23" t="inlineStr">
        <is>
          <t>NR.2</t>
        </is>
      </c>
      <c r="G23" t="inlineStr">
        <is>
          <t>5.18</t>
        </is>
      </c>
      <c r="H23" t="n">
        <v>31</v>
      </c>
      <c r="I23" t="n">
        <v>42.62</v>
      </c>
      <c r="J23" t="n">
        <v>38.23</v>
      </c>
      <c r="K23" t="n">
        <v>23.36</v>
      </c>
      <c r="L23">
        <f>ROUND(SQRT((I23-I16)^2+(J23-J16)^2+(K23-K16)^2),2)</f>
        <v/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Vermilion</t>
        </is>
      </c>
      <c r="E24" t="inlineStr">
        <is>
          <t>pedestal</t>
        </is>
      </c>
      <c r="F24" t="inlineStr">
        <is>
          <t>NR.2</t>
        </is>
      </c>
      <c r="G24" t="inlineStr">
        <is>
          <t>5.21</t>
        </is>
      </c>
      <c r="H24" t="n">
        <v>34</v>
      </c>
      <c r="I24" t="n">
        <v>42.88</v>
      </c>
      <c r="J24" t="n">
        <v>36.3</v>
      </c>
      <c r="K24" t="n">
        <v>22.41</v>
      </c>
      <c r="L24">
        <f>ROUND(SQRT((I24-I16)^2+(J24-J16)^2+(K24-K16)^2),2)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Vermilion</t>
        </is>
      </c>
      <c r="E25" t="inlineStr">
        <is>
          <t>pedestal</t>
        </is>
      </c>
      <c r="F25" t="inlineStr">
        <is>
          <t>NR.2</t>
        </is>
      </c>
      <c r="G25" t="inlineStr">
        <is>
          <t>5.24</t>
        </is>
      </c>
      <c r="H25" t="n">
        <v>37</v>
      </c>
      <c r="I25" t="n">
        <v>45.48</v>
      </c>
      <c r="J25" t="n">
        <v>36.48</v>
      </c>
      <c r="K25" t="n">
        <v>21.27</v>
      </c>
      <c r="L25">
        <f>ROUND(SQRT((I25-I16)^2+(J25-J16)^2+(K25-K16)^2),2)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Vermilion</t>
        </is>
      </c>
      <c r="E26" t="inlineStr">
        <is>
          <t>pedestal</t>
        </is>
      </c>
      <c r="F26" t="inlineStr">
        <is>
          <t>NR.2</t>
        </is>
      </c>
      <c r="G26" t="inlineStr">
        <is>
          <t>5.28</t>
        </is>
      </c>
      <c r="H26" t="n">
        <v>41</v>
      </c>
      <c r="I26" t="n">
        <v>42.3</v>
      </c>
      <c r="J26" t="n">
        <v>38.25</v>
      </c>
      <c r="K26" t="n">
        <v>22.79</v>
      </c>
      <c r="L26">
        <f>ROUND(SQRT((I26-I16)^2+(J26-J16)^2+(K26-K16)^2),2)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Vermilion</t>
        </is>
      </c>
      <c r="E27" t="inlineStr">
        <is>
          <t>pedestal</t>
        </is>
      </c>
      <c r="F27" t="inlineStr">
        <is>
          <t>NR.2</t>
        </is>
      </c>
      <c r="G27" t="inlineStr">
        <is>
          <t>6.09</t>
        </is>
      </c>
      <c r="H27" t="n">
        <v>53</v>
      </c>
      <c r="I27" t="n">
        <v>43.49</v>
      </c>
      <c r="J27" t="n">
        <v>37.59</v>
      </c>
      <c r="K27" t="n">
        <v>22.17</v>
      </c>
      <c r="L27">
        <f>ROUND(SQRT((I27-I16)^2+(J27-J16)^2+(K27-K16)^2),2)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Vermilion</t>
        </is>
      </c>
      <c r="E28" t="inlineStr">
        <is>
          <t>pedestal</t>
        </is>
      </c>
      <c r="F28" t="inlineStr">
        <is>
          <t>NR.2</t>
        </is>
      </c>
      <c r="G28" t="inlineStr">
        <is>
          <t>6.13</t>
        </is>
      </c>
      <c r="H28" t="n">
        <v>57</v>
      </c>
      <c r="I28" t="n">
        <v>43.07</v>
      </c>
      <c r="J28" t="n">
        <v>36.58</v>
      </c>
      <c r="K28" t="n">
        <v>21.9</v>
      </c>
      <c r="L28">
        <f>ROUND(SQRT((I28-I16)^2+(J28-J16)^2+(K28-K16)^2),2)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Vermilion</t>
        </is>
      </c>
      <c r="E29" t="inlineStr">
        <is>
          <t>pedestal</t>
        </is>
      </c>
      <c r="F29" t="inlineStr">
        <is>
          <t>NR.2</t>
        </is>
      </c>
      <c r="G29" t="inlineStr">
        <is>
          <t>6.17</t>
        </is>
      </c>
      <c r="H29" t="n">
        <v>61</v>
      </c>
      <c r="I29" t="n">
        <v>43.46</v>
      </c>
      <c r="J29" t="n">
        <v>37.83</v>
      </c>
      <c r="K29" t="n">
        <v>22.78</v>
      </c>
      <c r="L29">
        <f>ROUND(SQRT((I29-I16)^2+(J29-J16)^2+(K29-K16)^2),2)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Vermilion</t>
        </is>
      </c>
      <c r="E30" t="inlineStr">
        <is>
          <t>pedestal</t>
        </is>
      </c>
      <c r="F30" t="inlineStr">
        <is>
          <t>NR.3</t>
        </is>
      </c>
      <c r="G30" t="inlineStr">
        <is>
          <t>4.17</t>
        </is>
      </c>
      <c r="H30" t="n">
        <v>0</v>
      </c>
      <c r="I30" t="n">
        <v>44.58</v>
      </c>
      <c r="J30" t="n">
        <v>35.29</v>
      </c>
      <c r="K30" t="n">
        <v>20.23</v>
      </c>
      <c r="L30" t="n">
        <v>0</v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Vermilion</t>
        </is>
      </c>
      <c r="E31" t="inlineStr">
        <is>
          <t>pedestal</t>
        </is>
      </c>
      <c r="F31" t="inlineStr">
        <is>
          <t>NR.3</t>
        </is>
      </c>
      <c r="G31" t="inlineStr">
        <is>
          <t>4.20</t>
        </is>
      </c>
      <c r="H31" t="n">
        <v>3</v>
      </c>
      <c r="I31" s="4" t="n">
        <v>45.01</v>
      </c>
      <c r="J31" s="4" t="n">
        <v>35.63</v>
      </c>
      <c r="K31" s="4" t="n">
        <v>19.87</v>
      </c>
      <c r="L31">
        <f>ROUND(SQRT((I31-I30)^2+(J31-J30)^2+(K31-K30)^2),2)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Vermilion</t>
        </is>
      </c>
      <c r="E32" t="inlineStr">
        <is>
          <t>pedestal</t>
        </is>
      </c>
      <c r="F32" t="inlineStr">
        <is>
          <t>NR.3</t>
        </is>
      </c>
      <c r="G32" t="inlineStr">
        <is>
          <t>4.23</t>
        </is>
      </c>
      <c r="H32" t="n">
        <v>6</v>
      </c>
      <c r="I32" t="n">
        <v>45.06</v>
      </c>
      <c r="J32" t="n">
        <v>34</v>
      </c>
      <c r="K32" t="n">
        <v>19.41</v>
      </c>
      <c r="L32">
        <f>ROUND(SQRT((I32-I30)^2+(J32-J30)^2+(K32-K30)^2),2)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Vermilion</t>
        </is>
      </c>
      <c r="E33" t="inlineStr">
        <is>
          <t>pedestal</t>
        </is>
      </c>
      <c r="F33" t="inlineStr">
        <is>
          <t>NR.3</t>
        </is>
      </c>
      <c r="G33" t="inlineStr">
        <is>
          <t>4.26</t>
        </is>
      </c>
      <c r="H33" t="n">
        <v>9</v>
      </c>
      <c r="I33" t="n">
        <v>45.78</v>
      </c>
      <c r="J33" t="n">
        <v>33.87</v>
      </c>
      <c r="K33" t="n">
        <v>19.66</v>
      </c>
      <c r="L33">
        <f>ROUND(SQRT((I33-I30)^2+(J33-J30)^2+(K33-K30)^2),2)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Vermilion</t>
        </is>
      </c>
      <c r="E34" t="inlineStr">
        <is>
          <t>pedestal</t>
        </is>
      </c>
      <c r="F34" t="inlineStr">
        <is>
          <t>NR.3</t>
        </is>
      </c>
      <c r="G34" t="inlineStr">
        <is>
          <t>4.29</t>
        </is>
      </c>
      <c r="H34" t="n">
        <v>12</v>
      </c>
      <c r="I34" t="n">
        <v>43.75</v>
      </c>
      <c r="J34" t="n">
        <v>36.09</v>
      </c>
      <c r="K34" t="n">
        <v>21.88</v>
      </c>
      <c r="L34">
        <f>ROUND(SQRT((I34-I30)^2+(J34-J30)^2+(K34-K30)^2),2)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Vermilion</t>
        </is>
      </c>
      <c r="E35" t="inlineStr">
        <is>
          <t>pedestal</t>
        </is>
      </c>
      <c r="F35" t="inlineStr">
        <is>
          <t>NR.3</t>
        </is>
      </c>
      <c r="G35" t="inlineStr">
        <is>
          <t>5.12</t>
        </is>
      </c>
      <c r="H35" t="n">
        <v>25</v>
      </c>
      <c r="I35" t="n">
        <v>46.07</v>
      </c>
      <c r="J35" t="n">
        <v>34.55</v>
      </c>
      <c r="K35" t="n">
        <v>19.45</v>
      </c>
      <c r="L35">
        <f>ROUND(SQRT((I35-I30)^2+(J35-J30)^2+(K35-K30)^2),2)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Vermilion</t>
        </is>
      </c>
      <c r="E36" t="inlineStr">
        <is>
          <t>pedestal</t>
        </is>
      </c>
      <c r="F36" t="inlineStr">
        <is>
          <t>NR.3</t>
        </is>
      </c>
      <c r="G36" t="inlineStr">
        <is>
          <t>5.14</t>
        </is>
      </c>
      <c r="H36" t="n">
        <v>27</v>
      </c>
      <c r="I36" t="n">
        <v>46.1</v>
      </c>
      <c r="J36" t="n">
        <v>34.05</v>
      </c>
      <c r="K36" t="n">
        <v>21.1</v>
      </c>
      <c r="L36">
        <f>ROUND(SQRT((I36-I30)^2+(J36-J30)^2+(K36-K30)^2),2)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Vermilion</t>
        </is>
      </c>
      <c r="E37" t="inlineStr">
        <is>
          <t>pedestal</t>
        </is>
      </c>
      <c r="F37" t="inlineStr">
        <is>
          <t>NR.3</t>
        </is>
      </c>
      <c r="G37" t="inlineStr">
        <is>
          <t>5.18</t>
        </is>
      </c>
      <c r="H37" t="n">
        <v>31</v>
      </c>
      <c r="I37" t="n">
        <v>44.15</v>
      </c>
      <c r="J37" t="n">
        <v>36.21</v>
      </c>
      <c r="K37" t="n">
        <v>22.31</v>
      </c>
      <c r="L37">
        <f>ROUND(SQRT((I37-I30)^2+(J37-J30)^2+(K37-K30)^2),2)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Vermilion</t>
        </is>
      </c>
      <c r="E38" t="inlineStr">
        <is>
          <t>pedestal</t>
        </is>
      </c>
      <c r="F38" t="inlineStr">
        <is>
          <t>NR.3</t>
        </is>
      </c>
      <c r="G38" t="inlineStr">
        <is>
          <t>5.21</t>
        </is>
      </c>
      <c r="H38" t="n">
        <v>34</v>
      </c>
      <c r="I38" t="n">
        <v>45.8</v>
      </c>
      <c r="J38" t="n">
        <v>34.23</v>
      </c>
      <c r="K38" t="n">
        <v>18.24</v>
      </c>
      <c r="L38">
        <f>ROUND(SQRT((I38-I30)^2+(J38-J30)^2+(K38-K30)^2),2)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Vermilion</t>
        </is>
      </c>
      <c r="E39" t="inlineStr">
        <is>
          <t>pedestal</t>
        </is>
      </c>
      <c r="F39" t="inlineStr">
        <is>
          <t>NR.3</t>
        </is>
      </c>
      <c r="G39" t="inlineStr">
        <is>
          <t>5.24</t>
        </is>
      </c>
      <c r="H39" t="n">
        <v>37</v>
      </c>
      <c r="I39" t="n">
        <v>45.83</v>
      </c>
      <c r="J39" t="n">
        <v>35.05</v>
      </c>
      <c r="K39" t="n">
        <v>20.36</v>
      </c>
      <c r="L39">
        <f>ROUND(SQRT((I39-I30)^2+(J39-J30)^2+(K39-K30)^2),2)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Vermilion</t>
        </is>
      </c>
      <c r="E40" t="inlineStr">
        <is>
          <t>pedestal</t>
        </is>
      </c>
      <c r="F40" t="inlineStr">
        <is>
          <t>NR.3</t>
        </is>
      </c>
      <c r="G40" t="inlineStr">
        <is>
          <t>5.28</t>
        </is>
      </c>
      <c r="H40" t="n">
        <v>41</v>
      </c>
      <c r="I40" t="n">
        <v>46.83</v>
      </c>
      <c r="J40" t="n">
        <v>31.45</v>
      </c>
      <c r="K40" t="n">
        <v>22.71</v>
      </c>
      <c r="L40">
        <f>ROUND(SQRT((I40-I30)^2+(J40-J30)^2+(K40-K30)^2),2)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Vermilion</t>
        </is>
      </c>
      <c r="E41" t="inlineStr">
        <is>
          <t>pedestal</t>
        </is>
      </c>
      <c r="F41" t="inlineStr">
        <is>
          <t>NR.3</t>
        </is>
      </c>
      <c r="G41" t="inlineStr">
        <is>
          <t>6.09</t>
        </is>
      </c>
      <c r="H41" t="n">
        <v>53</v>
      </c>
      <c r="I41" t="n">
        <v>45.74</v>
      </c>
      <c r="J41" t="n">
        <v>34.9</v>
      </c>
      <c r="K41" t="n">
        <v>20.33</v>
      </c>
      <c r="L41">
        <f>ROUND(SQRT((I41-I30)^2+(J41-J30)^2+(K41-K30)^2),2)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Vermilion</t>
        </is>
      </c>
      <c r="E42" t="inlineStr">
        <is>
          <t>pedestal</t>
        </is>
      </c>
      <c r="F42" t="inlineStr">
        <is>
          <t>NR.3</t>
        </is>
      </c>
      <c r="G42" t="inlineStr">
        <is>
          <t>6.13</t>
        </is>
      </c>
      <c r="H42" t="n">
        <v>57</v>
      </c>
      <c r="I42" t="n">
        <v>46.67</v>
      </c>
      <c r="J42" t="n">
        <v>33.29</v>
      </c>
      <c r="K42" t="n">
        <v>19.68</v>
      </c>
      <c r="L42">
        <f>ROUND(SQRT((I42-I30)^2+(J42-J30)^2+(K42-K30)^2),2)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Vermilion</t>
        </is>
      </c>
      <c r="E43" t="inlineStr">
        <is>
          <t>pedestal</t>
        </is>
      </c>
      <c r="F43" t="inlineStr">
        <is>
          <t>NR.3</t>
        </is>
      </c>
      <c r="G43" t="inlineStr">
        <is>
          <t>6.17</t>
        </is>
      </c>
      <c r="H43" t="n">
        <v>61</v>
      </c>
      <c r="I43" t="n">
        <v>45.5</v>
      </c>
      <c r="J43" t="n">
        <v>35.03</v>
      </c>
      <c r="K43" t="n">
        <v>20.6</v>
      </c>
      <c r="L43">
        <f>ROUND(SQRT((I43-I30)^2+(J43-J30)^2+(K43-K30)^2),2)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Vermilion</t>
        </is>
      </c>
      <c r="E44" t="inlineStr">
        <is>
          <t>block</t>
        </is>
      </c>
      <c r="F44" t="inlineStr">
        <is>
          <t>NTR.1</t>
        </is>
      </c>
      <c r="G44" t="inlineStr">
        <is>
          <t>4.17</t>
        </is>
      </c>
      <c r="H44" t="n">
        <v>0</v>
      </c>
      <c r="I44" s="4" t="n">
        <v>45.4</v>
      </c>
      <c r="J44" s="4" t="n">
        <v>36.54</v>
      </c>
      <c r="K44" s="4" t="n">
        <v>18.53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Vermilion</t>
        </is>
      </c>
      <c r="E45" t="inlineStr">
        <is>
          <t>block</t>
        </is>
      </c>
      <c r="F45" t="inlineStr">
        <is>
          <t>NTR.1</t>
        </is>
      </c>
      <c r="G45" t="inlineStr">
        <is>
          <t>4.20</t>
        </is>
      </c>
      <c r="H45" t="n">
        <v>3</v>
      </c>
      <c r="I45" t="n">
        <v>46.34</v>
      </c>
      <c r="J45" t="n">
        <v>36.36</v>
      </c>
      <c r="K45" t="n">
        <v>20.73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Vermilion</t>
        </is>
      </c>
      <c r="E46" t="inlineStr">
        <is>
          <t>block</t>
        </is>
      </c>
      <c r="F46" t="inlineStr">
        <is>
          <t>NTR.1</t>
        </is>
      </c>
      <c r="G46" t="inlineStr">
        <is>
          <t>4.23</t>
        </is>
      </c>
      <c r="H46" t="n">
        <v>6</v>
      </c>
      <c r="I46" t="n">
        <v>47.22</v>
      </c>
      <c r="J46" t="n">
        <v>37.03</v>
      </c>
      <c r="K46" t="n">
        <v>20.95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Vermilion</t>
        </is>
      </c>
      <c r="E47" t="inlineStr">
        <is>
          <t>block</t>
        </is>
      </c>
      <c r="F47" t="inlineStr">
        <is>
          <t>NTR.1</t>
        </is>
      </c>
      <c r="G47" t="inlineStr">
        <is>
          <t>4.26</t>
        </is>
      </c>
      <c r="H47" t="n">
        <v>9</v>
      </c>
      <c r="I47" t="n">
        <v>47.43</v>
      </c>
      <c r="J47" t="n">
        <v>36.42</v>
      </c>
      <c r="K47" t="n">
        <v>21.96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Vermilion</t>
        </is>
      </c>
      <c r="E48" t="inlineStr">
        <is>
          <t>block</t>
        </is>
      </c>
      <c r="F48" t="inlineStr">
        <is>
          <t>NTR.1</t>
        </is>
      </c>
      <c r="G48" t="inlineStr">
        <is>
          <t>4.29</t>
        </is>
      </c>
      <c r="H48" t="n">
        <v>12</v>
      </c>
      <c r="I48" t="n">
        <v>47.51</v>
      </c>
      <c r="J48" t="n">
        <v>36.43</v>
      </c>
      <c r="K48" t="n">
        <v>20.54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Vermilion</t>
        </is>
      </c>
      <c r="E49" t="inlineStr">
        <is>
          <t>block</t>
        </is>
      </c>
      <c r="F49" t="inlineStr">
        <is>
          <t>NTR.1</t>
        </is>
      </c>
      <c r="G49" t="inlineStr">
        <is>
          <t>5.12</t>
        </is>
      </c>
      <c r="H49" t="n">
        <v>25</v>
      </c>
      <c r="I49" t="n">
        <v>47.45</v>
      </c>
      <c r="J49" t="n">
        <v>37.59</v>
      </c>
      <c r="K49" t="n">
        <v>22.7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Vermilion</t>
        </is>
      </c>
      <c r="E50" t="inlineStr">
        <is>
          <t>block</t>
        </is>
      </c>
      <c r="F50" t="inlineStr">
        <is>
          <t>NTR.1</t>
        </is>
      </c>
      <c r="G50" t="inlineStr">
        <is>
          <t>5.14</t>
        </is>
      </c>
      <c r="H50" t="n">
        <v>27</v>
      </c>
      <c r="I50" t="n">
        <v>48.03</v>
      </c>
      <c r="J50" t="n">
        <v>37.31</v>
      </c>
      <c r="K50" t="n">
        <v>22.43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Vermilion</t>
        </is>
      </c>
      <c r="E51" t="inlineStr">
        <is>
          <t>block</t>
        </is>
      </c>
      <c r="F51" t="inlineStr">
        <is>
          <t>NTR.1</t>
        </is>
      </c>
      <c r="G51" t="inlineStr">
        <is>
          <t>5.18</t>
        </is>
      </c>
      <c r="H51" t="n">
        <v>31</v>
      </c>
      <c r="I51" t="n">
        <v>47.6</v>
      </c>
      <c r="J51" t="n">
        <v>34.12</v>
      </c>
      <c r="K51" t="n">
        <v>19.19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Vermilion</t>
        </is>
      </c>
      <c r="E52" t="inlineStr">
        <is>
          <t>block</t>
        </is>
      </c>
      <c r="F52" t="inlineStr">
        <is>
          <t>NTR.1</t>
        </is>
      </c>
      <c r="G52" t="inlineStr">
        <is>
          <t>5.21</t>
        </is>
      </c>
      <c r="H52" t="n">
        <v>34</v>
      </c>
      <c r="I52" t="n">
        <v>47.59</v>
      </c>
      <c r="J52" t="n">
        <v>37.05</v>
      </c>
      <c r="K52" t="n">
        <v>21.35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Vermilion</t>
        </is>
      </c>
      <c r="E53" t="inlineStr">
        <is>
          <t>block</t>
        </is>
      </c>
      <c r="F53" t="inlineStr">
        <is>
          <t>NTR.1</t>
        </is>
      </c>
      <c r="G53" t="inlineStr">
        <is>
          <t>5.24</t>
        </is>
      </c>
      <c r="H53" t="n">
        <v>37</v>
      </c>
      <c r="I53" t="n">
        <v>47.77</v>
      </c>
      <c r="J53" t="n">
        <v>36.75</v>
      </c>
      <c r="K53" t="n">
        <v>20.67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Vermilion</t>
        </is>
      </c>
      <c r="E54" t="inlineStr">
        <is>
          <t>block</t>
        </is>
      </c>
      <c r="F54" t="inlineStr">
        <is>
          <t>NTR.1</t>
        </is>
      </c>
      <c r="G54" t="inlineStr">
        <is>
          <t>5.28</t>
        </is>
      </c>
      <c r="H54" t="n">
        <v>41</v>
      </c>
      <c r="I54" t="n">
        <v>47.14</v>
      </c>
      <c r="J54" t="n">
        <v>38</v>
      </c>
      <c r="K54" t="n">
        <v>22.16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Vermilion</t>
        </is>
      </c>
      <c r="E55" t="inlineStr">
        <is>
          <t>block</t>
        </is>
      </c>
      <c r="F55" t="inlineStr">
        <is>
          <t>NTR.1</t>
        </is>
      </c>
      <c r="G55" t="inlineStr">
        <is>
          <t>6.09</t>
        </is>
      </c>
      <c r="H55" t="n">
        <v>53</v>
      </c>
      <c r="I55" t="n">
        <v>48.03</v>
      </c>
      <c r="J55" t="n">
        <v>34.48</v>
      </c>
      <c r="K55" t="n">
        <v>20.15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Vermilion</t>
        </is>
      </c>
      <c r="E56" t="inlineStr">
        <is>
          <t>block</t>
        </is>
      </c>
      <c r="F56" t="inlineStr">
        <is>
          <t>NTR.1</t>
        </is>
      </c>
      <c r="G56" t="inlineStr">
        <is>
          <t>6.13</t>
        </is>
      </c>
      <c r="H56" t="n">
        <v>57</v>
      </c>
      <c r="I56" t="n">
        <v>48.31</v>
      </c>
      <c r="J56" t="n">
        <v>34.82</v>
      </c>
      <c r="K56" t="n">
        <v>21.08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Vermilion</t>
        </is>
      </c>
      <c r="E57" t="inlineStr">
        <is>
          <t>block</t>
        </is>
      </c>
      <c r="F57" t="inlineStr">
        <is>
          <t>NTR.1</t>
        </is>
      </c>
      <c r="G57" t="inlineStr">
        <is>
          <t>6.17</t>
        </is>
      </c>
      <c r="H57" t="n">
        <v>61</v>
      </c>
      <c r="I57" t="n">
        <v>48.48</v>
      </c>
      <c r="J57" t="n">
        <v>35.46</v>
      </c>
      <c r="K57" t="n">
        <v>19.15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Vermilion</t>
        </is>
      </c>
      <c r="E58" t="inlineStr">
        <is>
          <t>block</t>
        </is>
      </c>
      <c r="F58" t="inlineStr">
        <is>
          <t>NTR.2</t>
        </is>
      </c>
      <c r="G58" t="inlineStr">
        <is>
          <t>4.17</t>
        </is>
      </c>
      <c r="H58" t="n">
        <v>0</v>
      </c>
      <c r="I58" s="4" t="n">
        <v>46.72</v>
      </c>
      <c r="J58" s="4" t="n">
        <v>37.64</v>
      </c>
      <c r="K58" s="4" t="n">
        <v>21.16</v>
      </c>
      <c r="L58" t="n">
        <v>0</v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Vermilion</t>
        </is>
      </c>
      <c r="E59" t="inlineStr">
        <is>
          <t>block</t>
        </is>
      </c>
      <c r="F59" t="inlineStr">
        <is>
          <t>NTR.2</t>
        </is>
      </c>
      <c r="G59" t="inlineStr">
        <is>
          <t>4.20</t>
        </is>
      </c>
      <c r="H59" t="n">
        <v>3</v>
      </c>
      <c r="I59" t="n">
        <v>46.84</v>
      </c>
      <c r="J59" t="n">
        <v>37.65</v>
      </c>
      <c r="K59" t="n">
        <v>21.43</v>
      </c>
      <c r="L59">
        <f>ROUND(SQRT((I59-I58)^2+(J59-J58)^2+(K59-K58)^2),2)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Vermilion</t>
        </is>
      </c>
      <c r="E60" t="inlineStr">
        <is>
          <t>block</t>
        </is>
      </c>
      <c r="F60" t="inlineStr">
        <is>
          <t>NTR.2</t>
        </is>
      </c>
      <c r="G60" t="inlineStr">
        <is>
          <t>4.23</t>
        </is>
      </c>
      <c r="H60" t="n">
        <v>6</v>
      </c>
      <c r="I60" t="n">
        <v>46.7</v>
      </c>
      <c r="J60" t="n">
        <v>37.3</v>
      </c>
      <c r="K60" t="n">
        <v>21</v>
      </c>
      <c r="L60">
        <f>ROUND(SQRT((I60-I58)^2+(J60-J58)^2+(K60-K58)^2),2)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Vermilion</t>
        </is>
      </c>
      <c r="E61" t="inlineStr">
        <is>
          <t>block</t>
        </is>
      </c>
      <c r="F61" t="inlineStr">
        <is>
          <t>NTR.2</t>
        </is>
      </c>
      <c r="G61" t="inlineStr">
        <is>
          <t>4.26</t>
        </is>
      </c>
      <c r="H61" t="n">
        <v>9</v>
      </c>
      <c r="I61" t="n">
        <v>46.77</v>
      </c>
      <c r="J61" t="n">
        <v>36.74</v>
      </c>
      <c r="K61" t="n">
        <v>21.16</v>
      </c>
      <c r="L61">
        <f>ROUND(SQRT((I61-I58)^2+(J61-J58)^2+(K61-K58)^2),2)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Vermilion</t>
        </is>
      </c>
      <c r="E62" t="inlineStr">
        <is>
          <t>block</t>
        </is>
      </c>
      <c r="F62" t="inlineStr">
        <is>
          <t>NTR.2</t>
        </is>
      </c>
      <c r="G62" t="inlineStr">
        <is>
          <t>4.29</t>
        </is>
      </c>
      <c r="H62" t="n">
        <v>12</v>
      </c>
      <c r="I62" t="n">
        <v>46.88</v>
      </c>
      <c r="J62" t="n">
        <v>37.39</v>
      </c>
      <c r="K62" t="n">
        <v>20.85</v>
      </c>
      <c r="L62">
        <f>ROUND(SQRT((I62-I58)^2+(J62-J58)^2+(K62-K58)^2),2)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Vermilion</t>
        </is>
      </c>
      <c r="E63" t="inlineStr">
        <is>
          <t>block</t>
        </is>
      </c>
      <c r="F63" t="inlineStr">
        <is>
          <t>NTR.2</t>
        </is>
      </c>
      <c r="G63" t="inlineStr">
        <is>
          <t>5.12</t>
        </is>
      </c>
      <c r="H63" t="n">
        <v>25</v>
      </c>
      <c r="I63" t="n">
        <v>47.1</v>
      </c>
      <c r="J63" t="n">
        <v>37.68</v>
      </c>
      <c r="K63" t="n">
        <v>20.69</v>
      </c>
      <c r="L63">
        <f>ROUND(SQRT((I63-I58)^2+(J63-J58)^2+(K63-K58)^2),2)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Vermilion</t>
        </is>
      </c>
      <c r="E64" t="inlineStr">
        <is>
          <t>block</t>
        </is>
      </c>
      <c r="F64" t="inlineStr">
        <is>
          <t>NTR.2</t>
        </is>
      </c>
      <c r="G64" t="inlineStr">
        <is>
          <t>5.14</t>
        </is>
      </c>
      <c r="H64" t="n">
        <v>27</v>
      </c>
      <c r="I64" t="n">
        <v>47.14</v>
      </c>
      <c r="J64" t="n">
        <v>37.59</v>
      </c>
      <c r="K64" t="n">
        <v>21.29</v>
      </c>
      <c r="L64">
        <f>ROUND(SQRT((I64-I58)^2+(J64-J58)^2+(K64-K58)^2),2)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Vermilion</t>
        </is>
      </c>
      <c r="E65" t="inlineStr">
        <is>
          <t>block</t>
        </is>
      </c>
      <c r="F65" t="inlineStr">
        <is>
          <t>NTR.2</t>
        </is>
      </c>
      <c r="G65" t="inlineStr">
        <is>
          <t>5.18</t>
        </is>
      </c>
      <c r="H65" t="n">
        <v>31</v>
      </c>
      <c r="I65" t="n">
        <v>47.18</v>
      </c>
      <c r="J65" t="n">
        <v>37.59</v>
      </c>
      <c r="K65" t="n">
        <v>20.97</v>
      </c>
      <c r="L65">
        <f>ROUND(SQRT((I65-I58)^2+(J65-J58)^2+(K65-K58)^2),2)</f>
        <v/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Vermilion</t>
        </is>
      </c>
      <c r="E66" t="inlineStr">
        <is>
          <t>block</t>
        </is>
      </c>
      <c r="F66" t="inlineStr">
        <is>
          <t>NTR.2</t>
        </is>
      </c>
      <c r="G66" t="inlineStr">
        <is>
          <t>5.21</t>
        </is>
      </c>
      <c r="H66" t="n">
        <v>34</v>
      </c>
      <c r="I66" t="n">
        <v>47.09</v>
      </c>
      <c r="J66" t="n">
        <v>37.64</v>
      </c>
      <c r="K66" t="n">
        <v>20.36</v>
      </c>
      <c r="L66">
        <f>ROUND(SQRT((I66-I58)^2+(J66-J58)^2+(K66-K58)^2),2)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Vermilion</t>
        </is>
      </c>
      <c r="E67" t="inlineStr">
        <is>
          <t>block</t>
        </is>
      </c>
      <c r="F67" t="inlineStr">
        <is>
          <t>NTR.2</t>
        </is>
      </c>
      <c r="G67" t="inlineStr">
        <is>
          <t>5.24</t>
        </is>
      </c>
      <c r="H67" t="n">
        <v>37</v>
      </c>
      <c r="I67" t="n">
        <v>47.28</v>
      </c>
      <c r="J67" t="n">
        <v>37.11</v>
      </c>
      <c r="K67" t="n">
        <v>21.51</v>
      </c>
      <c r="L67">
        <f>ROUND(SQRT((I67-I58)^2+(J67-J58)^2+(K67-K58)^2),2)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Vermilion</t>
        </is>
      </c>
      <c r="E68" t="inlineStr">
        <is>
          <t>block</t>
        </is>
      </c>
      <c r="F68" t="inlineStr">
        <is>
          <t>NTR.2</t>
        </is>
      </c>
      <c r="G68" t="inlineStr">
        <is>
          <t>5.28</t>
        </is>
      </c>
      <c r="H68" t="n">
        <v>41</v>
      </c>
      <c r="I68" t="n">
        <v>47.21</v>
      </c>
      <c r="J68" t="n">
        <v>37.86</v>
      </c>
      <c r="K68" t="n">
        <v>20.71</v>
      </c>
      <c r="L68">
        <f>ROUND(SQRT((I68-I58)^2+(J68-J58)^2+(K68-K58)^2),2)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Vermilion</t>
        </is>
      </c>
      <c r="E69" t="inlineStr">
        <is>
          <t>block</t>
        </is>
      </c>
      <c r="F69" t="inlineStr">
        <is>
          <t>NTR.2</t>
        </is>
      </c>
      <c r="G69" t="inlineStr">
        <is>
          <t>6.09</t>
        </is>
      </c>
      <c r="H69" t="n">
        <v>53</v>
      </c>
      <c r="I69" t="n">
        <v>49.02</v>
      </c>
      <c r="J69" t="n">
        <v>34.7</v>
      </c>
      <c r="K69" t="n">
        <v>20.49</v>
      </c>
      <c r="L69">
        <f>ROUND(SQRT((I69-I58)^2+(J69-J58)^2+(K69-K58)^2),2)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Vermilion</t>
        </is>
      </c>
      <c r="E70" t="inlineStr">
        <is>
          <t>block</t>
        </is>
      </c>
      <c r="F70" t="inlineStr">
        <is>
          <t>NTR.2</t>
        </is>
      </c>
      <c r="G70" t="inlineStr">
        <is>
          <t>6.13</t>
        </is>
      </c>
      <c r="H70" t="n">
        <v>57</v>
      </c>
      <c r="I70" t="n">
        <v>47.43</v>
      </c>
      <c r="J70" t="n">
        <v>36.48</v>
      </c>
      <c r="K70" t="n">
        <v>20.98</v>
      </c>
      <c r="L70">
        <f>ROUND(SQRT((I70-I58)^2+(J70-J58)^2+(K70-K58)^2),2)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Vermilion</t>
        </is>
      </c>
      <c r="E71" t="inlineStr">
        <is>
          <t>block</t>
        </is>
      </c>
      <c r="F71" t="inlineStr">
        <is>
          <t>NTR.2</t>
        </is>
      </c>
      <c r="G71" t="inlineStr">
        <is>
          <t>6.17</t>
        </is>
      </c>
      <c r="H71" t="n">
        <v>61</v>
      </c>
      <c r="I71" t="n">
        <v>47.99</v>
      </c>
      <c r="J71" t="n">
        <v>37</v>
      </c>
      <c r="K71" t="n">
        <v>21.29</v>
      </c>
      <c r="L71">
        <f>ROUND(SQRT((I71-I58)^2+(J71-J58)^2+(K71-K58)^2),2)</f>
        <v/>
      </c>
      <c r="M71" t="inlineStr">
        <is>
          <t>measured</t>
        </is>
      </c>
    </row>
    <row r="72">
      <c r="A72" t="inlineStr">
        <is>
          <t>40C_10RH_chamber</t>
        </is>
      </c>
      <c r="B72" t="inlineStr">
        <is>
          <t>40 C / 10%RH (chamber arm)</t>
        </is>
      </c>
      <c r="C72" t="inlineStr">
        <is>
          <t>measured</t>
        </is>
      </c>
      <c r="D72" t="inlineStr">
        <is>
          <t>Vermilion</t>
        </is>
      </c>
      <c r="E72" t="inlineStr">
        <is>
          <t>pedestal</t>
        </is>
      </c>
      <c r="F72" t="inlineStr">
        <is>
          <t>HR.1</t>
        </is>
      </c>
      <c r="G72" t="inlineStr">
        <is>
          <t>4.17</t>
        </is>
      </c>
      <c r="H72" t="n">
        <v>0</v>
      </c>
      <c r="I72" s="4" t="n">
        <v>47.45</v>
      </c>
      <c r="J72" s="4" t="n">
        <v>35.56</v>
      </c>
      <c r="K72" s="4" t="n">
        <v>18.73</v>
      </c>
      <c r="L72" t="n">
        <v>0</v>
      </c>
      <c r="M72" t="inlineStr">
        <is>
          <t>measured</t>
        </is>
      </c>
    </row>
    <row r="73">
      <c r="A73" t="inlineStr">
        <is>
          <t>40C_10RH_chamber</t>
        </is>
      </c>
      <c r="B73" t="inlineStr">
        <is>
          <t>40 C / 10%RH (chamber arm)</t>
        </is>
      </c>
      <c r="C73" t="inlineStr">
        <is>
          <t>measured</t>
        </is>
      </c>
      <c r="D73" t="inlineStr">
        <is>
          <t>Vermilion</t>
        </is>
      </c>
      <c r="E73" t="inlineStr">
        <is>
          <t>pedestal</t>
        </is>
      </c>
      <c r="F73" t="inlineStr">
        <is>
          <t>HR.1</t>
        </is>
      </c>
      <c r="G73" t="inlineStr">
        <is>
          <t>4.20</t>
        </is>
      </c>
      <c r="H73" t="n">
        <v>3</v>
      </c>
      <c r="I73" t="n">
        <v>46.43</v>
      </c>
      <c r="J73" t="n">
        <v>34.66</v>
      </c>
      <c r="K73" t="n">
        <v>17.28</v>
      </c>
      <c r="L73">
        <f>ROUND(SQRT((I73-I72)^2+(J73-J72)^2+(K73-K72)^2),2)</f>
        <v/>
      </c>
      <c r="M73" t="inlineStr">
        <is>
          <t>measured</t>
        </is>
      </c>
    </row>
    <row r="74">
      <c r="A74" t="inlineStr">
        <is>
          <t>40C_10RH_chamber</t>
        </is>
      </c>
      <c r="B74" t="inlineStr">
        <is>
          <t>40 C / 10%RH (chamber arm)</t>
        </is>
      </c>
      <c r="C74" t="inlineStr">
        <is>
          <t>measured</t>
        </is>
      </c>
      <c r="D74" t="inlineStr">
        <is>
          <t>Vermilion</t>
        </is>
      </c>
      <c r="E74" t="inlineStr">
        <is>
          <t>pedestal</t>
        </is>
      </c>
      <c r="F74" t="inlineStr">
        <is>
          <t>HR.1</t>
        </is>
      </c>
      <c r="G74" t="inlineStr">
        <is>
          <t>4.23</t>
        </is>
      </c>
      <c r="H74" t="n">
        <v>6</v>
      </c>
      <c r="I74" t="n">
        <v>46.63</v>
      </c>
      <c r="J74" t="n">
        <v>35.06</v>
      </c>
      <c r="K74" t="n">
        <v>17.65</v>
      </c>
      <c r="L74">
        <f>ROUND(SQRT((I74-I72)^2+(J74-J72)^2+(K74-K72)^2),2)</f>
        <v/>
      </c>
      <c r="M74" t="inlineStr">
        <is>
          <t>measured</t>
        </is>
      </c>
    </row>
    <row r="75">
      <c r="A75" t="inlineStr">
        <is>
          <t>40C_10RH_chamber</t>
        </is>
      </c>
      <c r="B75" t="inlineStr">
        <is>
          <t>40 C / 10%RH (chamber arm)</t>
        </is>
      </c>
      <c r="C75" t="inlineStr">
        <is>
          <t>measured</t>
        </is>
      </c>
      <c r="D75" t="inlineStr">
        <is>
          <t>Vermilion</t>
        </is>
      </c>
      <c r="E75" t="inlineStr">
        <is>
          <t>pedestal</t>
        </is>
      </c>
      <c r="F75" t="inlineStr">
        <is>
          <t>HR.1</t>
        </is>
      </c>
      <c r="G75" t="inlineStr">
        <is>
          <t>4.26</t>
        </is>
      </c>
      <c r="H75" t="n">
        <v>9</v>
      </c>
      <c r="I75" t="n">
        <v>46.36</v>
      </c>
      <c r="J75" t="n">
        <v>35.05</v>
      </c>
      <c r="K75" t="n">
        <v>17.34</v>
      </c>
      <c r="L75">
        <f>ROUND(SQRT((I75-I72)^2+(J75-J72)^2+(K75-K72)^2),2)</f>
        <v/>
      </c>
      <c r="M75" t="inlineStr">
        <is>
          <t>measured</t>
        </is>
      </c>
    </row>
    <row r="76">
      <c r="A76" t="inlineStr">
        <is>
          <t>40C_10RH_chamber</t>
        </is>
      </c>
      <c r="B76" t="inlineStr">
        <is>
          <t>40 C / 10%RH (chamber arm)</t>
        </is>
      </c>
      <c r="C76" t="inlineStr">
        <is>
          <t>measured</t>
        </is>
      </c>
      <c r="D76" t="inlineStr">
        <is>
          <t>Vermilion</t>
        </is>
      </c>
      <c r="E76" t="inlineStr">
        <is>
          <t>pedestal</t>
        </is>
      </c>
      <c r="F76" t="inlineStr">
        <is>
          <t>HR.1</t>
        </is>
      </c>
      <c r="G76" t="inlineStr">
        <is>
          <t>4.29</t>
        </is>
      </c>
      <c r="H76" t="n">
        <v>12</v>
      </c>
      <c r="I76" t="n">
        <v>46.9</v>
      </c>
      <c r="J76" t="n">
        <v>34.34</v>
      </c>
      <c r="K76" t="n">
        <v>17.32</v>
      </c>
      <c r="L76">
        <f>ROUND(SQRT((I76-I72)^2+(J76-J72)^2+(K76-K72)^2),2)</f>
        <v/>
      </c>
      <c r="M76" t="inlineStr">
        <is>
          <t>measured</t>
        </is>
      </c>
    </row>
    <row r="77">
      <c r="A77" t="inlineStr">
        <is>
          <t>40C_10RH_chamber</t>
        </is>
      </c>
      <c r="B77" t="inlineStr">
        <is>
          <t>40 C / 10%RH (chamber arm)</t>
        </is>
      </c>
      <c r="C77" t="inlineStr">
        <is>
          <t>measured</t>
        </is>
      </c>
      <c r="D77" t="inlineStr">
        <is>
          <t>Vermilion</t>
        </is>
      </c>
      <c r="E77" t="inlineStr">
        <is>
          <t>pedestal</t>
        </is>
      </c>
      <c r="F77" t="inlineStr">
        <is>
          <t>HR.1</t>
        </is>
      </c>
      <c r="G77" t="inlineStr">
        <is>
          <t>5.12</t>
        </is>
      </c>
      <c r="H77" t="n">
        <v>25</v>
      </c>
      <c r="I77" t="n">
        <v>47.12</v>
      </c>
      <c r="J77" t="n">
        <v>34.72</v>
      </c>
      <c r="K77" t="n">
        <v>17.65</v>
      </c>
      <c r="L77">
        <f>ROUND(SQRT((I77-I72)^2+(J77-J72)^2+(K77-K72)^2),2)</f>
        <v/>
      </c>
      <c r="M77" t="inlineStr">
        <is>
          <t>measured</t>
        </is>
      </c>
    </row>
    <row r="78">
      <c r="A78" t="inlineStr">
        <is>
          <t>40C_10RH_chamber</t>
        </is>
      </c>
      <c r="B78" t="inlineStr">
        <is>
          <t>40 C / 10%RH (chamber arm)</t>
        </is>
      </c>
      <c r="C78" t="inlineStr">
        <is>
          <t>measured</t>
        </is>
      </c>
      <c r="D78" t="inlineStr">
        <is>
          <t>Vermilion</t>
        </is>
      </c>
      <c r="E78" t="inlineStr">
        <is>
          <t>pedestal</t>
        </is>
      </c>
      <c r="F78" t="inlineStr">
        <is>
          <t>HR.1</t>
        </is>
      </c>
      <c r="G78" t="inlineStr">
        <is>
          <t>5.14</t>
        </is>
      </c>
      <c r="H78" t="n">
        <v>27</v>
      </c>
      <c r="I78" t="n">
        <v>47</v>
      </c>
      <c r="J78" t="n">
        <v>34.5</v>
      </c>
      <c r="K78" t="n">
        <v>17.37</v>
      </c>
      <c r="L78">
        <f>ROUND(SQRT((I78-I72)^2+(J78-J72)^2+(K78-K72)^2),2)</f>
        <v/>
      </c>
      <c r="M78" t="inlineStr">
        <is>
          <t>measured</t>
        </is>
      </c>
    </row>
    <row r="79">
      <c r="A79" t="inlineStr">
        <is>
          <t>40C_10RH_chamber</t>
        </is>
      </c>
      <c r="B79" t="inlineStr">
        <is>
          <t>40 C / 10%RH (chamber arm)</t>
        </is>
      </c>
      <c r="C79" t="inlineStr">
        <is>
          <t>measured</t>
        </is>
      </c>
      <c r="D79" t="inlineStr">
        <is>
          <t>Vermilion</t>
        </is>
      </c>
      <c r="E79" t="inlineStr">
        <is>
          <t>pedestal</t>
        </is>
      </c>
      <c r="F79" t="inlineStr">
        <is>
          <t>HR.1</t>
        </is>
      </c>
      <c r="G79" t="inlineStr">
        <is>
          <t>5.18</t>
        </is>
      </c>
      <c r="H79" t="n">
        <v>31</v>
      </c>
      <c r="I79" t="n">
        <v>46.98</v>
      </c>
      <c r="J79" t="n">
        <v>35.08</v>
      </c>
      <c r="K79" t="n">
        <v>17.16</v>
      </c>
      <c r="L79">
        <f>ROUND(SQRT((I79-I72)^2+(J79-J72)^2+(K79-K72)^2),2)</f>
        <v/>
      </c>
      <c r="M79" t="inlineStr">
        <is>
          <t>measured</t>
        </is>
      </c>
    </row>
    <row r="80">
      <c r="A80" t="inlineStr">
        <is>
          <t>40C_10RH_chamber</t>
        </is>
      </c>
      <c r="B80" t="inlineStr">
        <is>
          <t>40 C / 10%RH (chamber arm)</t>
        </is>
      </c>
      <c r="C80" t="inlineStr">
        <is>
          <t>measured</t>
        </is>
      </c>
      <c r="D80" t="inlineStr">
        <is>
          <t>Vermilion</t>
        </is>
      </c>
      <c r="E80" t="inlineStr">
        <is>
          <t>pedestal</t>
        </is>
      </c>
      <c r="F80" t="inlineStr">
        <is>
          <t>HR.1</t>
        </is>
      </c>
      <c r="G80" t="inlineStr">
        <is>
          <t>5.21</t>
        </is>
      </c>
      <c r="H80" t="n">
        <v>34</v>
      </c>
      <c r="I80" t="n">
        <v>46.87</v>
      </c>
      <c r="J80" t="n">
        <v>35.66</v>
      </c>
      <c r="K80" t="n">
        <v>17.04</v>
      </c>
      <c r="L80">
        <f>ROUND(SQRT((I80-I72)^2+(J80-J72)^2+(K80-K72)^2),2)</f>
        <v/>
      </c>
      <c r="M80" t="inlineStr">
        <is>
          <t>measured</t>
        </is>
      </c>
    </row>
    <row r="81">
      <c r="A81" t="inlineStr">
        <is>
          <t>40C_10RH_chamber</t>
        </is>
      </c>
      <c r="B81" t="inlineStr">
        <is>
          <t>40 C / 10%RH (chamber arm)</t>
        </is>
      </c>
      <c r="C81" t="inlineStr">
        <is>
          <t>measured</t>
        </is>
      </c>
      <c r="D81" t="inlineStr">
        <is>
          <t>Vermilion</t>
        </is>
      </c>
      <c r="E81" t="inlineStr">
        <is>
          <t>pedestal</t>
        </is>
      </c>
      <c r="F81" t="inlineStr">
        <is>
          <t>HR.1</t>
        </is>
      </c>
      <c r="G81" t="inlineStr">
        <is>
          <t>5.24</t>
        </is>
      </c>
      <c r="H81" t="n">
        <v>37</v>
      </c>
      <c r="I81" t="n">
        <v>47.28</v>
      </c>
      <c r="J81" t="n">
        <v>35.39</v>
      </c>
      <c r="K81" t="n">
        <v>17.12</v>
      </c>
      <c r="L81">
        <f>ROUND(SQRT((I81-I72)^2+(J81-J72)^2+(K81-K72)^2),2)</f>
        <v/>
      </c>
      <c r="M81" t="inlineStr">
        <is>
          <t>measured</t>
        </is>
      </c>
    </row>
    <row r="82">
      <c r="A82" t="inlineStr">
        <is>
          <t>40C_10RH_chamber</t>
        </is>
      </c>
      <c r="B82" t="inlineStr">
        <is>
          <t>40 C / 10%RH (chamber arm)</t>
        </is>
      </c>
      <c r="C82" t="inlineStr">
        <is>
          <t>measured</t>
        </is>
      </c>
      <c r="D82" t="inlineStr">
        <is>
          <t>Vermilion</t>
        </is>
      </c>
      <c r="E82" t="inlineStr">
        <is>
          <t>pedestal</t>
        </is>
      </c>
      <c r="F82" t="inlineStr">
        <is>
          <t>HR.1</t>
        </is>
      </c>
      <c r="G82" t="inlineStr">
        <is>
          <t>5.28</t>
        </is>
      </c>
      <c r="H82" t="n">
        <v>41</v>
      </c>
      <c r="I82" t="n">
        <v>47.21</v>
      </c>
      <c r="J82" t="n">
        <v>34.59</v>
      </c>
      <c r="K82" t="n">
        <v>17.69</v>
      </c>
      <c r="L82">
        <f>ROUND(SQRT((I82-I72)^2+(J82-J72)^2+(K82-K72)^2),2)</f>
        <v/>
      </c>
      <c r="M82" t="inlineStr">
        <is>
          <t>measured</t>
        </is>
      </c>
    </row>
    <row r="83">
      <c r="A83" t="inlineStr">
        <is>
          <t>40C_10RH_chamber</t>
        </is>
      </c>
      <c r="B83" t="inlineStr">
        <is>
          <t>40 C / 10%RH (chamber arm)</t>
        </is>
      </c>
      <c r="C83" t="inlineStr">
        <is>
          <t>measured</t>
        </is>
      </c>
      <c r="D83" t="inlineStr">
        <is>
          <t>Vermilion</t>
        </is>
      </c>
      <c r="E83" t="inlineStr">
        <is>
          <t>pedestal</t>
        </is>
      </c>
      <c r="F83" t="inlineStr">
        <is>
          <t>HR.1</t>
        </is>
      </c>
      <c r="G83" t="inlineStr">
        <is>
          <t>6.09</t>
        </is>
      </c>
      <c r="H83" t="n">
        <v>53</v>
      </c>
      <c r="I83" t="n">
        <v>47.33</v>
      </c>
      <c r="J83" t="n">
        <v>34.87</v>
      </c>
      <c r="K83" t="n">
        <v>17.44</v>
      </c>
      <c r="L83">
        <f>ROUND(SQRT((I83-I72)^2+(J83-J72)^2+(K83-K72)^2),2)</f>
        <v/>
      </c>
      <c r="M83" t="inlineStr">
        <is>
          <t>measured</t>
        </is>
      </c>
    </row>
    <row r="84">
      <c r="A84" t="inlineStr">
        <is>
          <t>40C_10RH_chamber</t>
        </is>
      </c>
      <c r="B84" t="inlineStr">
        <is>
          <t>40 C / 10%RH (chamber arm)</t>
        </is>
      </c>
      <c r="C84" t="inlineStr">
        <is>
          <t>measured</t>
        </is>
      </c>
      <c r="D84" t="inlineStr">
        <is>
          <t>Vermilion</t>
        </is>
      </c>
      <c r="E84" t="inlineStr">
        <is>
          <t>pedestal</t>
        </is>
      </c>
      <c r="F84" t="inlineStr">
        <is>
          <t>HR.1</t>
        </is>
      </c>
      <c r="G84" t="inlineStr">
        <is>
          <t>6.13</t>
        </is>
      </c>
      <c r="H84" t="n">
        <v>57</v>
      </c>
      <c r="I84" t="n">
        <v>47.07</v>
      </c>
      <c r="J84" t="n">
        <v>34.76</v>
      </c>
      <c r="K84" t="n">
        <v>17.51</v>
      </c>
      <c r="L84">
        <f>ROUND(SQRT((I84-I72)^2+(J84-J72)^2+(K84-K72)^2),2)</f>
        <v/>
      </c>
      <c r="M84" t="inlineStr">
        <is>
          <t>measured</t>
        </is>
      </c>
    </row>
    <row r="85">
      <c r="A85" t="inlineStr">
        <is>
          <t>40C_10RH_chamber</t>
        </is>
      </c>
      <c r="B85" t="inlineStr">
        <is>
          <t>40 C / 10%RH (chamber arm)</t>
        </is>
      </c>
      <c r="C85" t="inlineStr">
        <is>
          <t>measured</t>
        </is>
      </c>
      <c r="D85" t="inlineStr">
        <is>
          <t>Vermilion</t>
        </is>
      </c>
      <c r="E85" t="inlineStr">
        <is>
          <t>pedestal</t>
        </is>
      </c>
      <c r="F85" t="inlineStr">
        <is>
          <t>HR.1</t>
        </is>
      </c>
      <c r="G85" t="inlineStr">
        <is>
          <t>6.17</t>
        </is>
      </c>
      <c r="H85" t="n">
        <v>61</v>
      </c>
      <c r="I85" t="n">
        <v>47.18</v>
      </c>
      <c r="J85" t="n">
        <v>34.02</v>
      </c>
      <c r="K85" t="n">
        <v>17.68</v>
      </c>
      <c r="L85">
        <f>ROUND(SQRT((I85-I72)^2+(J85-J72)^2+(K85-K72)^2),2)</f>
        <v/>
      </c>
      <c r="M85" t="inlineStr">
        <is>
          <t>measured</t>
        </is>
      </c>
    </row>
    <row r="86">
      <c r="A86" t="inlineStr">
        <is>
          <t>40C_10RH_chamber</t>
        </is>
      </c>
      <c r="B86" t="inlineStr">
        <is>
          <t>40 C / 10%RH (chamber arm)</t>
        </is>
      </c>
      <c r="C86" t="inlineStr">
        <is>
          <t>measured</t>
        </is>
      </c>
      <c r="D86" t="inlineStr">
        <is>
          <t>Vermilion</t>
        </is>
      </c>
      <c r="E86" t="inlineStr">
        <is>
          <t>pedestal</t>
        </is>
      </c>
      <c r="F86" t="inlineStr">
        <is>
          <t>HR.2</t>
        </is>
      </c>
      <c r="G86" t="inlineStr">
        <is>
          <t>4.17</t>
        </is>
      </c>
      <c r="H86" t="n">
        <v>0</v>
      </c>
      <c r="I86" s="4" t="n">
        <v>46.45</v>
      </c>
      <c r="J86" s="4" t="n">
        <v>36.05</v>
      </c>
      <c r="K86" s="4" t="n">
        <v>19</v>
      </c>
      <c r="L86" t="n">
        <v>0</v>
      </c>
      <c r="M86" t="inlineStr">
        <is>
          <t>measured</t>
        </is>
      </c>
    </row>
    <row r="87">
      <c r="A87" t="inlineStr">
        <is>
          <t>40C_10RH_chamber</t>
        </is>
      </c>
      <c r="B87" t="inlineStr">
        <is>
          <t>40 C / 10%RH (chamber arm)</t>
        </is>
      </c>
      <c r="C87" t="inlineStr">
        <is>
          <t>measured</t>
        </is>
      </c>
      <c r="D87" t="inlineStr">
        <is>
          <t>Vermilion</t>
        </is>
      </c>
      <c r="E87" t="inlineStr">
        <is>
          <t>pedestal</t>
        </is>
      </c>
      <c r="F87" t="inlineStr">
        <is>
          <t>HR.2</t>
        </is>
      </c>
      <c r="G87" t="inlineStr">
        <is>
          <t>4.20</t>
        </is>
      </c>
      <c r="H87" t="n">
        <v>3</v>
      </c>
      <c r="I87" t="n">
        <v>45.75</v>
      </c>
      <c r="J87" t="n">
        <v>36.6</v>
      </c>
      <c r="K87" t="n">
        <v>17.28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40C_10RH_chamber</t>
        </is>
      </c>
      <c r="B88" t="inlineStr">
        <is>
          <t>40 C / 10%RH (chamber arm)</t>
        </is>
      </c>
      <c r="C88" t="inlineStr">
        <is>
          <t>measured</t>
        </is>
      </c>
      <c r="D88" t="inlineStr">
        <is>
          <t>Vermilion</t>
        </is>
      </c>
      <c r="E88" t="inlineStr">
        <is>
          <t>pedestal</t>
        </is>
      </c>
      <c r="F88" t="inlineStr">
        <is>
          <t>HR.2</t>
        </is>
      </c>
      <c r="G88" t="inlineStr">
        <is>
          <t>4.23</t>
        </is>
      </c>
      <c r="H88" t="n">
        <v>6</v>
      </c>
      <c r="I88" t="n">
        <v>45.45</v>
      </c>
      <c r="J88" t="n">
        <v>34.04</v>
      </c>
      <c r="K88" t="n">
        <v>17.34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40C_10RH_chamber</t>
        </is>
      </c>
      <c r="B89" t="inlineStr">
        <is>
          <t>40 C / 10%RH (chamber arm)</t>
        </is>
      </c>
      <c r="C89" t="inlineStr">
        <is>
          <t>measured</t>
        </is>
      </c>
      <c r="D89" t="inlineStr">
        <is>
          <t>Vermilion</t>
        </is>
      </c>
      <c r="E89" t="inlineStr">
        <is>
          <t>pedestal</t>
        </is>
      </c>
      <c r="F89" t="inlineStr">
        <is>
          <t>HR.2</t>
        </is>
      </c>
      <c r="G89" t="inlineStr">
        <is>
          <t>4.26</t>
        </is>
      </c>
      <c r="H89" t="n">
        <v>9</v>
      </c>
      <c r="I89" t="n">
        <v>45.55</v>
      </c>
      <c r="J89" t="n">
        <v>34.82</v>
      </c>
      <c r="K89" t="n">
        <v>17.52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40C_10RH_chamber</t>
        </is>
      </c>
      <c r="B90" t="inlineStr">
        <is>
          <t>40 C / 10%RH (chamber arm)</t>
        </is>
      </c>
      <c r="C90" t="inlineStr">
        <is>
          <t>measured</t>
        </is>
      </c>
      <c r="D90" t="inlineStr">
        <is>
          <t>Vermilion</t>
        </is>
      </c>
      <c r="E90" t="inlineStr">
        <is>
          <t>pedestal</t>
        </is>
      </c>
      <c r="F90" t="inlineStr">
        <is>
          <t>HR.2</t>
        </is>
      </c>
      <c r="G90" t="inlineStr">
        <is>
          <t>4.29</t>
        </is>
      </c>
      <c r="H90" t="n">
        <v>12</v>
      </c>
      <c r="I90" t="n">
        <v>45.95</v>
      </c>
      <c r="J90" t="n">
        <v>34.24</v>
      </c>
      <c r="K90" t="n">
        <v>17.37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40C_10RH_chamber</t>
        </is>
      </c>
      <c r="B91" t="inlineStr">
        <is>
          <t>40 C / 10%RH (chamber arm)</t>
        </is>
      </c>
      <c r="C91" t="inlineStr">
        <is>
          <t>measured</t>
        </is>
      </c>
      <c r="D91" t="inlineStr">
        <is>
          <t>Vermilion</t>
        </is>
      </c>
      <c r="E91" t="inlineStr">
        <is>
          <t>pedestal</t>
        </is>
      </c>
      <c r="F91" t="inlineStr">
        <is>
          <t>HR.2</t>
        </is>
      </c>
      <c r="G91" t="inlineStr">
        <is>
          <t>5.12</t>
        </is>
      </c>
      <c r="H91" t="n">
        <v>25</v>
      </c>
      <c r="I91" t="n">
        <v>46.44</v>
      </c>
      <c r="J91" t="n">
        <v>35.27</v>
      </c>
      <c r="K91" t="n">
        <v>17.29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40C_10RH_chamber</t>
        </is>
      </c>
      <c r="B92" t="inlineStr">
        <is>
          <t>40 C / 10%RH (chamber arm)</t>
        </is>
      </c>
      <c r="C92" t="inlineStr">
        <is>
          <t>measured</t>
        </is>
      </c>
      <c r="D92" t="inlineStr">
        <is>
          <t>Vermilion</t>
        </is>
      </c>
      <c r="E92" t="inlineStr">
        <is>
          <t>pedestal</t>
        </is>
      </c>
      <c r="F92" t="inlineStr">
        <is>
          <t>HR.2</t>
        </is>
      </c>
      <c r="G92" t="inlineStr">
        <is>
          <t>5.14</t>
        </is>
      </c>
      <c r="H92" t="n">
        <v>27</v>
      </c>
      <c r="I92" t="n">
        <v>46.24</v>
      </c>
      <c r="J92" t="n">
        <v>34.41</v>
      </c>
      <c r="K92" t="n">
        <v>16.91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40C_10RH_chamber</t>
        </is>
      </c>
      <c r="B93" t="inlineStr">
        <is>
          <t>40 C / 10%RH (chamber arm)</t>
        </is>
      </c>
      <c r="C93" t="inlineStr">
        <is>
          <t>measured</t>
        </is>
      </c>
      <c r="D93" t="inlineStr">
        <is>
          <t>Vermilion</t>
        </is>
      </c>
      <c r="E93" t="inlineStr">
        <is>
          <t>pedestal</t>
        </is>
      </c>
      <c r="F93" t="inlineStr">
        <is>
          <t>HR.2</t>
        </is>
      </c>
      <c r="G93" t="inlineStr">
        <is>
          <t>5.18</t>
        </is>
      </c>
      <c r="H93" t="n">
        <v>31</v>
      </c>
      <c r="I93" t="n">
        <v>46.21</v>
      </c>
      <c r="J93" t="n">
        <v>34.91</v>
      </c>
      <c r="K93" t="n">
        <v>16.99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40C_10RH_chamber</t>
        </is>
      </c>
      <c r="B94" t="inlineStr">
        <is>
          <t>40 C / 10%RH (chamber arm)</t>
        </is>
      </c>
      <c r="C94" t="inlineStr">
        <is>
          <t>measured</t>
        </is>
      </c>
      <c r="D94" t="inlineStr">
        <is>
          <t>Vermilion</t>
        </is>
      </c>
      <c r="E94" t="inlineStr">
        <is>
          <t>pedestal</t>
        </is>
      </c>
      <c r="F94" t="inlineStr">
        <is>
          <t>HR.2</t>
        </is>
      </c>
      <c r="G94" t="inlineStr">
        <is>
          <t>5.21</t>
        </is>
      </c>
      <c r="H94" t="n">
        <v>34</v>
      </c>
      <c r="I94" t="n">
        <v>45.73</v>
      </c>
      <c r="J94" t="n">
        <v>34.81</v>
      </c>
      <c r="K94" t="n">
        <v>17.54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40C_10RH_chamber</t>
        </is>
      </c>
      <c r="B95" t="inlineStr">
        <is>
          <t>40 C / 10%RH (chamber arm)</t>
        </is>
      </c>
      <c r="C95" t="inlineStr">
        <is>
          <t>measured</t>
        </is>
      </c>
      <c r="D95" t="inlineStr">
        <is>
          <t>Vermilion</t>
        </is>
      </c>
      <c r="E95" t="inlineStr">
        <is>
          <t>pedestal</t>
        </is>
      </c>
      <c r="F95" t="inlineStr">
        <is>
          <t>HR.2</t>
        </is>
      </c>
      <c r="G95" t="inlineStr">
        <is>
          <t>5.24</t>
        </is>
      </c>
      <c r="H95" t="n">
        <v>37</v>
      </c>
      <c r="I95" t="n">
        <v>46.18</v>
      </c>
      <c r="J95" t="n">
        <v>34.15</v>
      </c>
      <c r="K95" t="n">
        <v>17.07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40C_10RH_chamber</t>
        </is>
      </c>
      <c r="B96" t="inlineStr">
        <is>
          <t>40 C / 10%RH (chamber arm)</t>
        </is>
      </c>
      <c r="C96" t="inlineStr">
        <is>
          <t>measured</t>
        </is>
      </c>
      <c r="D96" t="inlineStr">
        <is>
          <t>Vermilion</t>
        </is>
      </c>
      <c r="E96" t="inlineStr">
        <is>
          <t>pedestal</t>
        </is>
      </c>
      <c r="F96" t="inlineStr">
        <is>
          <t>HR.2</t>
        </is>
      </c>
      <c r="G96" t="inlineStr">
        <is>
          <t>5.28</t>
        </is>
      </c>
      <c r="H96" t="n">
        <v>41</v>
      </c>
      <c r="I96" t="n">
        <v>45.88</v>
      </c>
      <c r="J96" t="n">
        <v>34.88</v>
      </c>
      <c r="K96" t="n">
        <v>17.33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40C_10RH_chamber</t>
        </is>
      </c>
      <c r="B97" t="inlineStr">
        <is>
          <t>40 C / 10%RH (chamber arm)</t>
        </is>
      </c>
      <c r="C97" t="inlineStr">
        <is>
          <t>measured</t>
        </is>
      </c>
      <c r="D97" t="inlineStr">
        <is>
          <t>Vermilion</t>
        </is>
      </c>
      <c r="E97" t="inlineStr">
        <is>
          <t>pedestal</t>
        </is>
      </c>
      <c r="F97" t="inlineStr">
        <is>
          <t>HR.2</t>
        </is>
      </c>
      <c r="G97" t="inlineStr">
        <is>
          <t>6.09</t>
        </is>
      </c>
      <c r="H97" t="n">
        <v>53</v>
      </c>
      <c r="I97" t="n">
        <v>45.77</v>
      </c>
      <c r="J97" t="n">
        <v>34.59</v>
      </c>
      <c r="K97" t="n">
        <v>17.76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40C_10RH_chamber</t>
        </is>
      </c>
      <c r="B98" t="inlineStr">
        <is>
          <t>40 C / 10%RH (chamber arm)</t>
        </is>
      </c>
      <c r="C98" t="inlineStr">
        <is>
          <t>measured</t>
        </is>
      </c>
      <c r="D98" t="inlineStr">
        <is>
          <t>Vermilion</t>
        </is>
      </c>
      <c r="E98" t="inlineStr">
        <is>
          <t>pedestal</t>
        </is>
      </c>
      <c r="F98" t="inlineStr">
        <is>
          <t>HR.2</t>
        </is>
      </c>
      <c r="G98" t="inlineStr">
        <is>
          <t>6.13</t>
        </is>
      </c>
      <c r="H98" t="n">
        <v>57</v>
      </c>
      <c r="I98" t="n">
        <v>46.04</v>
      </c>
      <c r="J98" t="n">
        <v>36.48</v>
      </c>
      <c r="K98" t="n">
        <v>18.12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40C_10RH_chamber</t>
        </is>
      </c>
      <c r="B99" t="inlineStr">
        <is>
          <t>40 C / 10%RH (chamber arm)</t>
        </is>
      </c>
      <c r="C99" t="inlineStr">
        <is>
          <t>measured</t>
        </is>
      </c>
      <c r="D99" t="inlineStr">
        <is>
          <t>Vermilion</t>
        </is>
      </c>
      <c r="E99" t="inlineStr">
        <is>
          <t>pedestal</t>
        </is>
      </c>
      <c r="F99" t="inlineStr">
        <is>
          <t>HR.2</t>
        </is>
      </c>
      <c r="G99" t="inlineStr">
        <is>
          <t>6.17</t>
        </is>
      </c>
      <c r="H99" t="n">
        <v>61</v>
      </c>
      <c r="I99" t="n">
        <v>45.86</v>
      </c>
      <c r="J99" t="n">
        <v>34.93</v>
      </c>
      <c r="K99" t="n">
        <v>17.43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40C_10RH_chamber</t>
        </is>
      </c>
      <c r="B100" t="inlineStr">
        <is>
          <t>40 C / 10%RH (chamber arm)</t>
        </is>
      </c>
      <c r="C100" t="inlineStr">
        <is>
          <t>measured</t>
        </is>
      </c>
      <c r="D100" t="inlineStr">
        <is>
          <t>Vermilion</t>
        </is>
      </c>
      <c r="E100" t="inlineStr">
        <is>
          <t>pedestal</t>
        </is>
      </c>
      <c r="F100" t="inlineStr">
        <is>
          <t>HR.3</t>
        </is>
      </c>
      <c r="G100" t="inlineStr">
        <is>
          <t>4.17</t>
        </is>
      </c>
      <c r="H100" t="n">
        <v>0</v>
      </c>
      <c r="I100" s="4" t="n">
        <v>48.16</v>
      </c>
      <c r="J100" s="4" t="n">
        <v>35.74</v>
      </c>
      <c r="K100" s="4" t="n">
        <v>19.65</v>
      </c>
      <c r="L100" t="n">
        <v>0</v>
      </c>
      <c r="M100" t="inlineStr">
        <is>
          <t>measured</t>
        </is>
      </c>
    </row>
    <row r="101">
      <c r="A101" t="inlineStr">
        <is>
          <t>40C_10RH_chamber</t>
        </is>
      </c>
      <c r="B101" t="inlineStr">
        <is>
          <t>40 C / 10%RH (chamber arm)</t>
        </is>
      </c>
      <c r="C101" t="inlineStr">
        <is>
          <t>measured</t>
        </is>
      </c>
      <c r="D101" t="inlineStr">
        <is>
          <t>Vermilion</t>
        </is>
      </c>
      <c r="E101" t="inlineStr">
        <is>
          <t>pedestal</t>
        </is>
      </c>
      <c r="F101" t="inlineStr">
        <is>
          <t>HR.3</t>
        </is>
      </c>
      <c r="G101" t="inlineStr">
        <is>
          <t>4.20</t>
        </is>
      </c>
      <c r="H101" t="n">
        <v>3</v>
      </c>
      <c r="I101" t="n">
        <v>46.8</v>
      </c>
      <c r="J101" t="n">
        <v>35.01</v>
      </c>
      <c r="K101" t="n">
        <v>17.47</v>
      </c>
      <c r="L101">
        <f>ROUND(SQRT((I101-I100)^2+(J101-J100)^2+(K101-K100)^2),2)</f>
        <v/>
      </c>
      <c r="M101" t="inlineStr">
        <is>
          <t>measured</t>
        </is>
      </c>
    </row>
    <row r="102">
      <c r="A102" t="inlineStr">
        <is>
          <t>40C_10RH_chamber</t>
        </is>
      </c>
      <c r="B102" t="inlineStr">
        <is>
          <t>40 C / 10%RH (chamber arm)</t>
        </is>
      </c>
      <c r="C102" t="inlineStr">
        <is>
          <t>measured</t>
        </is>
      </c>
      <c r="D102" t="inlineStr">
        <is>
          <t>Vermilion</t>
        </is>
      </c>
      <c r="E102" t="inlineStr">
        <is>
          <t>pedestal</t>
        </is>
      </c>
      <c r="F102" t="inlineStr">
        <is>
          <t>HR.3</t>
        </is>
      </c>
      <c r="G102" t="inlineStr">
        <is>
          <t>4.23</t>
        </is>
      </c>
      <c r="H102" t="n">
        <v>6</v>
      </c>
      <c r="I102" t="n">
        <v>46.99</v>
      </c>
      <c r="J102" t="n">
        <v>34.49</v>
      </c>
      <c r="K102" t="n">
        <v>18.09</v>
      </c>
      <c r="L102">
        <f>ROUND(SQRT((I102-I100)^2+(J102-J100)^2+(K102-K100)^2),2)</f>
        <v/>
      </c>
      <c r="M102" t="inlineStr">
        <is>
          <t>measured</t>
        </is>
      </c>
    </row>
    <row r="103">
      <c r="A103" t="inlineStr">
        <is>
          <t>40C_10RH_chamber</t>
        </is>
      </c>
      <c r="B103" t="inlineStr">
        <is>
          <t>40 C / 10%RH (chamber arm)</t>
        </is>
      </c>
      <c r="C103" t="inlineStr">
        <is>
          <t>measured</t>
        </is>
      </c>
      <c r="D103" t="inlineStr">
        <is>
          <t>Vermilion</t>
        </is>
      </c>
      <c r="E103" t="inlineStr">
        <is>
          <t>pedestal</t>
        </is>
      </c>
      <c r="F103" t="inlineStr">
        <is>
          <t>HR.3</t>
        </is>
      </c>
      <c r="G103" t="inlineStr">
        <is>
          <t>4.26</t>
        </is>
      </c>
      <c r="H103" t="n">
        <v>9</v>
      </c>
      <c r="I103" t="n">
        <v>47.14</v>
      </c>
      <c r="J103" t="n">
        <v>34.62</v>
      </c>
      <c r="K103" t="n">
        <v>17.25</v>
      </c>
      <c r="L103">
        <f>ROUND(SQRT((I103-I100)^2+(J103-J100)^2+(K103-K100)^2),2)</f>
        <v/>
      </c>
      <c r="M103" t="inlineStr">
        <is>
          <t>measured</t>
        </is>
      </c>
    </row>
    <row r="104">
      <c r="A104" t="inlineStr">
        <is>
          <t>40C_10RH_chamber</t>
        </is>
      </c>
      <c r="B104" t="inlineStr">
        <is>
          <t>40 C / 10%RH (chamber arm)</t>
        </is>
      </c>
      <c r="C104" t="inlineStr">
        <is>
          <t>measured</t>
        </is>
      </c>
      <c r="D104" t="inlineStr">
        <is>
          <t>Vermilion</t>
        </is>
      </c>
      <c r="E104" t="inlineStr">
        <is>
          <t>pedestal</t>
        </is>
      </c>
      <c r="F104" t="inlineStr">
        <is>
          <t>HR.3</t>
        </is>
      </c>
      <c r="G104" t="inlineStr">
        <is>
          <t>4.29</t>
        </is>
      </c>
      <c r="H104" t="n">
        <v>12</v>
      </c>
      <c r="I104" t="n">
        <v>47.38</v>
      </c>
      <c r="J104" t="n">
        <v>34.55</v>
      </c>
      <c r="K104" t="n">
        <v>16.61</v>
      </c>
      <c r="L104">
        <f>ROUND(SQRT((I104-I100)^2+(J104-J100)^2+(K104-K100)^2),2)</f>
        <v/>
      </c>
      <c r="M104" t="inlineStr">
        <is>
          <t>measured</t>
        </is>
      </c>
    </row>
    <row r="105">
      <c r="A105" t="inlineStr">
        <is>
          <t>40C_10RH_chamber</t>
        </is>
      </c>
      <c r="B105" t="inlineStr">
        <is>
          <t>40 C / 10%RH (chamber arm)</t>
        </is>
      </c>
      <c r="C105" t="inlineStr">
        <is>
          <t>measured</t>
        </is>
      </c>
      <c r="D105" t="inlineStr">
        <is>
          <t>Vermilion</t>
        </is>
      </c>
      <c r="E105" t="inlineStr">
        <is>
          <t>pedestal</t>
        </is>
      </c>
      <c r="F105" t="inlineStr">
        <is>
          <t>HR.3</t>
        </is>
      </c>
      <c r="G105" t="inlineStr">
        <is>
          <t>5.12</t>
        </is>
      </c>
      <c r="H105" t="n">
        <v>25</v>
      </c>
      <c r="I105" t="n">
        <v>47.32</v>
      </c>
      <c r="J105" t="n">
        <v>36.68</v>
      </c>
      <c r="K105" t="n">
        <v>17.1</v>
      </c>
      <c r="L105">
        <f>ROUND(SQRT((I105-I100)^2+(J105-J100)^2+(K105-K100)^2),2)</f>
        <v/>
      </c>
      <c r="M105" t="inlineStr">
        <is>
          <t>measured</t>
        </is>
      </c>
    </row>
    <row r="106">
      <c r="A106" t="inlineStr">
        <is>
          <t>40C_10RH_chamber</t>
        </is>
      </c>
      <c r="B106" t="inlineStr">
        <is>
          <t>40 C / 10%RH (chamber arm)</t>
        </is>
      </c>
      <c r="C106" t="inlineStr">
        <is>
          <t>measured</t>
        </is>
      </c>
      <c r="D106" t="inlineStr">
        <is>
          <t>Vermilion</t>
        </is>
      </c>
      <c r="E106" t="inlineStr">
        <is>
          <t>pedestal</t>
        </is>
      </c>
      <c r="F106" t="inlineStr">
        <is>
          <t>HR.3</t>
        </is>
      </c>
      <c r="G106" t="inlineStr">
        <is>
          <t>5.14</t>
        </is>
      </c>
      <c r="H106" t="n">
        <v>27</v>
      </c>
      <c r="I106" t="n">
        <v>47.65</v>
      </c>
      <c r="J106" t="n">
        <v>34.46</v>
      </c>
      <c r="K106" t="n">
        <v>17.16</v>
      </c>
      <c r="L106">
        <f>ROUND(SQRT((I106-I100)^2+(J106-J100)^2+(K106-K100)^2),2)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Vermilion</t>
        </is>
      </c>
      <c r="E107" t="inlineStr">
        <is>
          <t>pedestal</t>
        </is>
      </c>
      <c r="F107" t="inlineStr">
        <is>
          <t>HR.3</t>
        </is>
      </c>
      <c r="G107" t="inlineStr">
        <is>
          <t>5.18</t>
        </is>
      </c>
      <c r="H107" t="n">
        <v>31</v>
      </c>
      <c r="I107" t="n">
        <v>47.34</v>
      </c>
      <c r="J107" t="n">
        <v>34.98</v>
      </c>
      <c r="K107" t="n">
        <v>16.87</v>
      </c>
      <c r="L107">
        <f>ROUND(SQRT((I107-I100)^2+(J107-J100)^2+(K107-K100)^2),2)</f>
        <v/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Vermilion</t>
        </is>
      </c>
      <c r="E108" t="inlineStr">
        <is>
          <t>pedestal</t>
        </is>
      </c>
      <c r="F108" t="inlineStr">
        <is>
          <t>HR.3</t>
        </is>
      </c>
      <c r="G108" t="inlineStr">
        <is>
          <t>5.21</t>
        </is>
      </c>
      <c r="H108" t="n">
        <v>34</v>
      </c>
      <c r="I108" t="n">
        <v>47.86</v>
      </c>
      <c r="J108" t="n">
        <v>35.18</v>
      </c>
      <c r="K108" t="n">
        <v>18.2</v>
      </c>
      <c r="L108">
        <f>ROUND(SQRT((I108-I100)^2+(J108-J100)^2+(K108-K100)^2),2)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Vermilion</t>
        </is>
      </c>
      <c r="E109" t="inlineStr">
        <is>
          <t>pedestal</t>
        </is>
      </c>
      <c r="F109" t="inlineStr">
        <is>
          <t>HR.3</t>
        </is>
      </c>
      <c r="G109" t="inlineStr">
        <is>
          <t>5.24</t>
        </is>
      </c>
      <c r="H109" t="n">
        <v>37</v>
      </c>
      <c r="I109" t="n">
        <v>47.19</v>
      </c>
      <c r="J109" t="n">
        <v>34.59</v>
      </c>
      <c r="K109" t="n">
        <v>17.08</v>
      </c>
      <c r="L109">
        <f>ROUND(SQRT((I109-I100)^2+(J109-J100)^2+(K109-K100)^2),2)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Vermilion</t>
        </is>
      </c>
      <c r="E110" t="inlineStr">
        <is>
          <t>pedestal</t>
        </is>
      </c>
      <c r="F110" t="inlineStr">
        <is>
          <t>HR.3</t>
        </is>
      </c>
      <c r="G110" t="inlineStr">
        <is>
          <t>5.28</t>
        </is>
      </c>
      <c r="H110" t="n">
        <v>41</v>
      </c>
      <c r="I110" t="n">
        <v>48.41</v>
      </c>
      <c r="J110" t="n">
        <v>35.49</v>
      </c>
      <c r="K110" t="n">
        <v>18.45</v>
      </c>
      <c r="L110">
        <f>ROUND(SQRT((I110-I100)^2+(J110-J100)^2+(K110-K100)^2),2)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Vermilion</t>
        </is>
      </c>
      <c r="E111" t="inlineStr">
        <is>
          <t>pedestal</t>
        </is>
      </c>
      <c r="F111" t="inlineStr">
        <is>
          <t>HR.3</t>
        </is>
      </c>
      <c r="G111" t="inlineStr">
        <is>
          <t>6.09</t>
        </is>
      </c>
      <c r="H111" t="n">
        <v>53</v>
      </c>
      <c r="I111" t="n">
        <v>47.03</v>
      </c>
      <c r="J111" t="n">
        <v>36.04</v>
      </c>
      <c r="K111" t="n">
        <v>17.75</v>
      </c>
      <c r="L111">
        <f>ROUND(SQRT((I111-I100)^2+(J111-J100)^2+(K111-K100)^2),2)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Vermilion</t>
        </is>
      </c>
      <c r="E112" t="inlineStr">
        <is>
          <t>pedestal</t>
        </is>
      </c>
      <c r="F112" t="inlineStr">
        <is>
          <t>HR.3</t>
        </is>
      </c>
      <c r="G112" t="inlineStr">
        <is>
          <t>6.13</t>
        </is>
      </c>
      <c r="H112" t="n">
        <v>57</v>
      </c>
      <c r="I112" t="n">
        <v>47.36</v>
      </c>
      <c r="J112" t="n">
        <v>35.02</v>
      </c>
      <c r="K112" t="n">
        <v>17.73</v>
      </c>
      <c r="L112">
        <f>ROUND(SQRT((I112-I100)^2+(J112-J100)^2+(K112-K100)^2),2)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Vermilion</t>
        </is>
      </c>
      <c r="E113" t="inlineStr">
        <is>
          <t>pedestal</t>
        </is>
      </c>
      <c r="F113" t="inlineStr">
        <is>
          <t>HR.3</t>
        </is>
      </c>
      <c r="G113" t="inlineStr">
        <is>
          <t>6.17</t>
        </is>
      </c>
      <c r="H113" t="n">
        <v>61</v>
      </c>
      <c r="I113" t="n">
        <v>47.31</v>
      </c>
      <c r="J113" t="n">
        <v>34.7</v>
      </c>
      <c r="K113" t="n">
        <v>17.31</v>
      </c>
      <c r="L113">
        <f>ROUND(SQRT((I113-I100)^2+(J113-J100)^2+(K113-K100)^2),2)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Vermilion</t>
        </is>
      </c>
      <c r="E114" t="inlineStr">
        <is>
          <t>block</t>
        </is>
      </c>
      <c r="F114" t="inlineStr">
        <is>
          <t>HTR.1</t>
        </is>
      </c>
      <c r="G114" t="inlineStr">
        <is>
          <t>4.17</t>
        </is>
      </c>
      <c r="H114" t="n">
        <v>0</v>
      </c>
      <c r="I114" s="4" t="n">
        <v>49.2</v>
      </c>
      <c r="J114" s="4" t="n">
        <v>36.1</v>
      </c>
      <c r="K114" s="4" t="n">
        <v>22.25</v>
      </c>
      <c r="L114" t="n">
        <v>0</v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Vermilion</t>
        </is>
      </c>
      <c r="E115" t="inlineStr">
        <is>
          <t>block</t>
        </is>
      </c>
      <c r="F115" t="inlineStr">
        <is>
          <t>HTR.1</t>
        </is>
      </c>
      <c r="G115" t="inlineStr">
        <is>
          <t>4.20</t>
        </is>
      </c>
      <c r="H115" t="n">
        <v>3</v>
      </c>
      <c r="I115" t="n">
        <v>48.33</v>
      </c>
      <c r="J115" t="n">
        <v>35.06</v>
      </c>
      <c r="K115" t="n">
        <v>20.44</v>
      </c>
      <c r="L115">
        <f>ROUND(SQRT((I115-I114)^2+(J115-J114)^2+(K115-K114)^2),2)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Vermilion</t>
        </is>
      </c>
      <c r="E116" t="inlineStr">
        <is>
          <t>block</t>
        </is>
      </c>
      <c r="F116" t="inlineStr">
        <is>
          <t>HTR.1</t>
        </is>
      </c>
      <c r="G116" t="inlineStr">
        <is>
          <t>4.23</t>
        </is>
      </c>
      <c r="H116" t="n">
        <v>6</v>
      </c>
      <c r="I116" t="n">
        <v>48.89</v>
      </c>
      <c r="J116" t="n">
        <v>34.97</v>
      </c>
      <c r="K116" t="n">
        <v>21.54</v>
      </c>
      <c r="L116">
        <f>ROUND(SQRT((I116-I114)^2+(J116-J114)^2+(K116-K114)^2),2)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Vermilion</t>
        </is>
      </c>
      <c r="E117" t="inlineStr">
        <is>
          <t>block</t>
        </is>
      </c>
      <c r="F117" t="inlineStr">
        <is>
          <t>HTR.1</t>
        </is>
      </c>
      <c r="G117" t="inlineStr">
        <is>
          <t>4.26</t>
        </is>
      </c>
      <c r="H117" t="n">
        <v>9</v>
      </c>
      <c r="I117" t="n">
        <v>48.36</v>
      </c>
      <c r="J117" t="n">
        <v>35.33</v>
      </c>
      <c r="K117" t="n">
        <v>21.12</v>
      </c>
      <c r="L117">
        <f>ROUND(SQRT((I117-I114)^2+(J117-J114)^2+(K117-K114)^2),2)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Vermilion</t>
        </is>
      </c>
      <c r="E118" t="inlineStr">
        <is>
          <t>block</t>
        </is>
      </c>
      <c r="F118" t="inlineStr">
        <is>
          <t>HTR.1</t>
        </is>
      </c>
      <c r="G118" t="inlineStr">
        <is>
          <t>4.29</t>
        </is>
      </c>
      <c r="H118" t="n">
        <v>12</v>
      </c>
      <c r="I118" t="n">
        <v>49.31</v>
      </c>
      <c r="J118" t="n">
        <v>35.33</v>
      </c>
      <c r="K118" t="n">
        <v>20.88</v>
      </c>
      <c r="L118">
        <f>ROUND(SQRT((I118-I114)^2+(J118-J114)^2+(K118-K114)^2),2)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Vermilion</t>
        </is>
      </c>
      <c r="E119" t="inlineStr">
        <is>
          <t>block</t>
        </is>
      </c>
      <c r="F119" t="inlineStr">
        <is>
          <t>HTR.1</t>
        </is>
      </c>
      <c r="G119" t="inlineStr">
        <is>
          <t>5.12</t>
        </is>
      </c>
      <c r="H119" t="n">
        <v>25</v>
      </c>
      <c r="I119" t="n">
        <v>49.61</v>
      </c>
      <c r="J119" t="n">
        <v>35.68</v>
      </c>
      <c r="K119" t="n">
        <v>20.41</v>
      </c>
      <c r="L119">
        <f>ROUND(SQRT((I119-I114)^2+(J119-J114)^2+(K119-K114)^2),2)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Vermilion</t>
        </is>
      </c>
      <c r="E120" t="inlineStr">
        <is>
          <t>block</t>
        </is>
      </c>
      <c r="F120" t="inlineStr">
        <is>
          <t>HTR.1</t>
        </is>
      </c>
      <c r="G120" t="inlineStr">
        <is>
          <t>5.14</t>
        </is>
      </c>
      <c r="H120" t="n">
        <v>27</v>
      </c>
      <c r="I120" t="n">
        <v>49.76</v>
      </c>
      <c r="J120" t="n">
        <v>35.11</v>
      </c>
      <c r="K120" t="n">
        <v>20.69</v>
      </c>
      <c r="L120">
        <f>ROUND(SQRT((I120-I114)^2+(J120-J114)^2+(K120-K114)^2),2)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Vermilion</t>
        </is>
      </c>
      <c r="E121" t="inlineStr">
        <is>
          <t>block</t>
        </is>
      </c>
      <c r="F121" t="inlineStr">
        <is>
          <t>HTR.1</t>
        </is>
      </c>
      <c r="G121" t="inlineStr">
        <is>
          <t>5.18</t>
        </is>
      </c>
      <c r="H121" t="n">
        <v>31</v>
      </c>
      <c r="I121" t="n">
        <v>49.91</v>
      </c>
      <c r="J121" t="n">
        <v>35.14</v>
      </c>
      <c r="K121" t="n">
        <v>20.65</v>
      </c>
      <c r="L121">
        <f>ROUND(SQRT((I121-I114)^2+(J121-J114)^2+(K121-K114)^2),2)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Vermilion</t>
        </is>
      </c>
      <c r="E122" t="inlineStr">
        <is>
          <t>block</t>
        </is>
      </c>
      <c r="F122" t="inlineStr">
        <is>
          <t>HTR.1</t>
        </is>
      </c>
      <c r="G122" t="inlineStr">
        <is>
          <t>5.21</t>
        </is>
      </c>
      <c r="H122" t="n">
        <v>34</v>
      </c>
      <c r="I122" t="n">
        <v>48.88</v>
      </c>
      <c r="J122" t="n">
        <v>35.48</v>
      </c>
      <c r="K122" t="n">
        <v>20.44</v>
      </c>
      <c r="L122">
        <f>ROUND(SQRT((I122-I114)^2+(J122-J114)^2+(K122-K114)^2),2)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Vermilion</t>
        </is>
      </c>
      <c r="E123" t="inlineStr">
        <is>
          <t>block</t>
        </is>
      </c>
      <c r="F123" t="inlineStr">
        <is>
          <t>HTR.1</t>
        </is>
      </c>
      <c r="G123" t="inlineStr">
        <is>
          <t>5.24</t>
        </is>
      </c>
      <c r="H123" t="n">
        <v>37</v>
      </c>
      <c r="I123" t="n">
        <v>48.96</v>
      </c>
      <c r="J123" t="n">
        <v>35.82</v>
      </c>
      <c r="K123" t="n">
        <v>20.06</v>
      </c>
      <c r="L123">
        <f>ROUND(SQRT((I123-I114)^2+(J123-J114)^2+(K123-K114)^2),2)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Vermilion</t>
        </is>
      </c>
      <c r="E124" t="inlineStr">
        <is>
          <t>block</t>
        </is>
      </c>
      <c r="F124" t="inlineStr">
        <is>
          <t>HTR.1</t>
        </is>
      </c>
      <c r="G124" t="inlineStr">
        <is>
          <t>5.28</t>
        </is>
      </c>
      <c r="H124" t="n">
        <v>41</v>
      </c>
      <c r="I124" t="n">
        <v>48.22</v>
      </c>
      <c r="J124" t="n">
        <v>35.7</v>
      </c>
      <c r="K124" t="n">
        <v>20.21</v>
      </c>
      <c r="L124">
        <f>ROUND(SQRT((I124-I114)^2+(J124-J114)^2+(K124-K114)^2),2)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Vermilion</t>
        </is>
      </c>
      <c r="E125" t="inlineStr">
        <is>
          <t>block</t>
        </is>
      </c>
      <c r="F125" t="inlineStr">
        <is>
          <t>HTR.1</t>
        </is>
      </c>
      <c r="G125" t="inlineStr">
        <is>
          <t>6.09</t>
        </is>
      </c>
      <c r="H125" t="n">
        <v>53</v>
      </c>
      <c r="I125" t="n">
        <v>48.78</v>
      </c>
      <c r="J125" t="n">
        <v>35.05</v>
      </c>
      <c r="K125" t="n">
        <v>20.21</v>
      </c>
      <c r="L125">
        <f>ROUND(SQRT((I125-I114)^2+(J125-J114)^2+(K125-K114)^2),2)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Vermilion</t>
        </is>
      </c>
      <c r="E126" t="inlineStr">
        <is>
          <t>block</t>
        </is>
      </c>
      <c r="F126" t="inlineStr">
        <is>
          <t>HTR.1</t>
        </is>
      </c>
      <c r="G126" t="inlineStr">
        <is>
          <t>6.13</t>
        </is>
      </c>
      <c r="H126" t="n">
        <v>57</v>
      </c>
      <c r="I126" t="n">
        <v>48.85</v>
      </c>
      <c r="J126" t="n">
        <v>35.16</v>
      </c>
      <c r="K126" t="n">
        <v>20.14</v>
      </c>
      <c r="L126">
        <f>ROUND(SQRT((I126-I114)^2+(J126-J114)^2+(K126-K114)^2),2)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Vermilion</t>
        </is>
      </c>
      <c r="E127" t="inlineStr">
        <is>
          <t>block</t>
        </is>
      </c>
      <c r="F127" t="inlineStr">
        <is>
          <t>HTR.1</t>
        </is>
      </c>
      <c r="G127" t="inlineStr">
        <is>
          <t>6.17</t>
        </is>
      </c>
      <c r="H127" t="n">
        <v>61</v>
      </c>
      <c r="I127" t="n">
        <v>49.33</v>
      </c>
      <c r="J127" t="n">
        <v>34.84</v>
      </c>
      <c r="K127" t="n">
        <v>19.93</v>
      </c>
      <c r="L127">
        <f>ROUND(SQRT((I127-I114)^2+(J127-J114)^2+(K127-K114)^2),2)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Vermilion</t>
        </is>
      </c>
      <c r="E128" t="inlineStr">
        <is>
          <t>block</t>
        </is>
      </c>
      <c r="F128" t="inlineStr">
        <is>
          <t>HTR.2</t>
        </is>
      </c>
      <c r="G128" t="inlineStr">
        <is>
          <t>4.17</t>
        </is>
      </c>
      <c r="H128" t="n">
        <v>0</v>
      </c>
      <c r="I128" s="4" t="n">
        <v>51.68</v>
      </c>
      <c r="J128" s="4" t="n">
        <v>34.77</v>
      </c>
      <c r="K128" s="4" t="n">
        <v>21.18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Vermilion</t>
        </is>
      </c>
      <c r="E129" t="inlineStr">
        <is>
          <t>block</t>
        </is>
      </c>
      <c r="F129" t="inlineStr">
        <is>
          <t>HTR.2</t>
        </is>
      </c>
      <c r="G129" t="inlineStr">
        <is>
          <t>4.20</t>
        </is>
      </c>
      <c r="H129" t="n">
        <v>3</v>
      </c>
      <c r="I129" t="n">
        <v>50.42</v>
      </c>
      <c r="J129" t="n">
        <v>34.82</v>
      </c>
      <c r="K129" t="n">
        <v>19.85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Vermilion</t>
        </is>
      </c>
      <c r="E130" t="inlineStr">
        <is>
          <t>block</t>
        </is>
      </c>
      <c r="F130" t="inlineStr">
        <is>
          <t>HTR.2</t>
        </is>
      </c>
      <c r="G130" t="inlineStr">
        <is>
          <t>4.23</t>
        </is>
      </c>
      <c r="H130" t="n">
        <v>6</v>
      </c>
      <c r="I130" t="n">
        <v>50.54</v>
      </c>
      <c r="J130" t="n">
        <v>34.66</v>
      </c>
      <c r="K130" t="n">
        <v>19.91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Vermilion</t>
        </is>
      </c>
      <c r="E131" t="inlineStr">
        <is>
          <t>block</t>
        </is>
      </c>
      <c r="F131" t="inlineStr">
        <is>
          <t>HTR.2</t>
        </is>
      </c>
      <c r="G131" t="inlineStr">
        <is>
          <t>4.26</t>
        </is>
      </c>
      <c r="H131" t="n">
        <v>9</v>
      </c>
      <c r="I131" t="n">
        <v>50.53</v>
      </c>
      <c r="J131" t="n">
        <v>33.36</v>
      </c>
      <c r="K131" t="n">
        <v>19.5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Vermilion</t>
        </is>
      </c>
      <c r="E132" t="inlineStr">
        <is>
          <t>block</t>
        </is>
      </c>
      <c r="F132" t="inlineStr">
        <is>
          <t>HTR.2</t>
        </is>
      </c>
      <c r="G132" t="inlineStr">
        <is>
          <t>4.29</t>
        </is>
      </c>
      <c r="H132" t="n">
        <v>12</v>
      </c>
      <c r="I132" t="n">
        <v>51.05</v>
      </c>
      <c r="J132" t="n">
        <v>33.04</v>
      </c>
      <c r="K132" t="n">
        <v>19.01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Vermilion</t>
        </is>
      </c>
      <c r="E133" t="inlineStr">
        <is>
          <t>block</t>
        </is>
      </c>
      <c r="F133" t="inlineStr">
        <is>
          <t>HTR.2</t>
        </is>
      </c>
      <c r="G133" t="inlineStr">
        <is>
          <t>5.12</t>
        </is>
      </c>
      <c r="H133" t="n">
        <v>25</v>
      </c>
      <c r="I133" t="n">
        <v>51.26</v>
      </c>
      <c r="J133" t="n">
        <v>34.05</v>
      </c>
      <c r="K133" t="n">
        <v>19.62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Vermilion</t>
        </is>
      </c>
      <c r="E134" t="inlineStr">
        <is>
          <t>block</t>
        </is>
      </c>
      <c r="F134" t="inlineStr">
        <is>
          <t>HTR.2</t>
        </is>
      </c>
      <c r="G134" t="inlineStr">
        <is>
          <t>5.14</t>
        </is>
      </c>
      <c r="H134" t="n">
        <v>27</v>
      </c>
      <c r="I134" t="n">
        <v>51.3</v>
      </c>
      <c r="J134" t="n">
        <v>34</v>
      </c>
      <c r="K134" t="n">
        <v>19.44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Vermilion</t>
        </is>
      </c>
      <c r="E135" t="inlineStr">
        <is>
          <t>block</t>
        </is>
      </c>
      <c r="F135" t="inlineStr">
        <is>
          <t>HTR.2</t>
        </is>
      </c>
      <c r="G135" t="inlineStr">
        <is>
          <t>5.18</t>
        </is>
      </c>
      <c r="H135" t="n">
        <v>31</v>
      </c>
      <c r="I135" t="n">
        <v>51</v>
      </c>
      <c r="J135" t="n">
        <v>34.47</v>
      </c>
      <c r="K135" t="n">
        <v>19.77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Vermilion</t>
        </is>
      </c>
      <c r="E136" t="inlineStr">
        <is>
          <t>block</t>
        </is>
      </c>
      <c r="F136" t="inlineStr">
        <is>
          <t>HTR.2</t>
        </is>
      </c>
      <c r="G136" t="inlineStr">
        <is>
          <t>5.21</t>
        </is>
      </c>
      <c r="H136" t="n">
        <v>34</v>
      </c>
      <c r="I136" t="n">
        <v>51.18</v>
      </c>
      <c r="J136" t="n">
        <v>33.39</v>
      </c>
      <c r="K136" t="n">
        <v>20.07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Vermilion</t>
        </is>
      </c>
      <c r="E137" t="inlineStr">
        <is>
          <t>block</t>
        </is>
      </c>
      <c r="F137" t="inlineStr">
        <is>
          <t>HTR.2</t>
        </is>
      </c>
      <c r="G137" t="inlineStr">
        <is>
          <t>5.24</t>
        </is>
      </c>
      <c r="H137" t="n">
        <v>37</v>
      </c>
      <c r="I137" t="n">
        <v>51.11</v>
      </c>
      <c r="J137" t="n">
        <v>34.04</v>
      </c>
      <c r="K137" t="n">
        <v>19.48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Vermilion</t>
        </is>
      </c>
      <c r="E138" t="inlineStr">
        <is>
          <t>block</t>
        </is>
      </c>
      <c r="F138" t="inlineStr">
        <is>
          <t>HTR.2</t>
        </is>
      </c>
      <c r="G138" t="inlineStr">
        <is>
          <t>5.28</t>
        </is>
      </c>
      <c r="H138" t="n">
        <v>41</v>
      </c>
      <c r="I138" t="n">
        <v>51</v>
      </c>
      <c r="J138" t="n">
        <v>33.45</v>
      </c>
      <c r="K138" t="n">
        <v>19.06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Vermilion</t>
        </is>
      </c>
      <c r="E139" t="inlineStr">
        <is>
          <t>block</t>
        </is>
      </c>
      <c r="F139" t="inlineStr">
        <is>
          <t>HTR.2</t>
        </is>
      </c>
      <c r="G139" t="inlineStr">
        <is>
          <t>6.09</t>
        </is>
      </c>
      <c r="H139" t="n">
        <v>53</v>
      </c>
      <c r="I139" t="n">
        <v>51.06</v>
      </c>
      <c r="J139" t="n">
        <v>33.93</v>
      </c>
      <c r="K139" t="n">
        <v>19.65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Vermilion</t>
        </is>
      </c>
      <c r="E140" t="inlineStr">
        <is>
          <t>block</t>
        </is>
      </c>
      <c r="F140" t="inlineStr">
        <is>
          <t>HTR.2</t>
        </is>
      </c>
      <c r="G140" t="inlineStr">
        <is>
          <t>6.13</t>
        </is>
      </c>
      <c r="H140" t="n">
        <v>57</v>
      </c>
      <c r="I140" t="n">
        <v>51.3</v>
      </c>
      <c r="J140" t="n">
        <v>32.99</v>
      </c>
      <c r="K140" t="n">
        <v>19.7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Vermilion</t>
        </is>
      </c>
      <c r="E141" t="inlineStr">
        <is>
          <t>block</t>
        </is>
      </c>
      <c r="F141" t="inlineStr">
        <is>
          <t>HTR.2</t>
        </is>
      </c>
      <c r="G141" t="inlineStr">
        <is>
          <t>6.17</t>
        </is>
      </c>
      <c r="H141" t="n">
        <v>61</v>
      </c>
      <c r="I141" t="n">
        <v>51.42</v>
      </c>
      <c r="J141" t="n">
        <v>33.09</v>
      </c>
      <c r="K141" t="n">
        <v>19.11</v>
      </c>
      <c r="L141">
        <f>ROUND(SQRT((I141-I128)^2+(J141-J128)^2+(K141-K128)^2),2)</f>
        <v/>
      </c>
      <c r="M141" t="inlineStr">
        <is>
          <t>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I129" sqref="I129"/>
    </sheetView>
  </sheetViews>
  <sheetFormatPr baseColWidth="8" defaultRowHeight="14.4"/>
  <cols>
    <col width="22" customWidth="1" min="1" max="1"/>
    <col width="30" customWidth="1" min="2" max="2"/>
    <col width="12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11"/>
    <col width="9" customWidth="1" min="12" max="12"/>
    <col width="12" customWidth="1" min="13" max="13"/>
  </cols>
  <sheetData>
    <row r="1">
      <c r="A1" s="3" t="inlineStr">
        <is>
          <t>arm_code</t>
        </is>
      </c>
      <c r="B1" s="3" t="inlineStr">
        <is>
          <t>condition</t>
        </is>
      </c>
      <c r="C1" s="3" t="inlineStr">
        <is>
          <t>status</t>
        </is>
      </c>
      <c r="D1" s="3" t="inlineStr">
        <is>
          <t>pigment</t>
        </is>
      </c>
      <c r="E1" s="3" t="inlineStr">
        <is>
          <t>geometry</t>
        </is>
      </c>
      <c r="F1" s="3" t="inlineStr">
        <is>
          <t>spot</t>
        </is>
      </c>
      <c r="G1" s="3" t="inlineStr">
        <is>
          <t>date</t>
        </is>
      </c>
      <c r="H1" s="3" t="inlineStr">
        <is>
          <t>day</t>
        </is>
      </c>
      <c r="I1" s="3" t="inlineStr">
        <is>
          <t>L*</t>
        </is>
      </c>
      <c r="J1" s="3" t="inlineStr">
        <is>
          <t>a*</t>
        </is>
      </c>
      <c r="K1" s="3" t="inlineStr">
        <is>
          <t>b*</t>
        </is>
      </c>
      <c r="L1" s="3" t="inlineStr">
        <is>
          <t>deltaE</t>
        </is>
      </c>
      <c r="M1" s="3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Malachite</t>
        </is>
      </c>
      <c r="E2" t="inlineStr">
        <is>
          <t>pedestal</t>
        </is>
      </c>
      <c r="F2" t="inlineStr">
        <is>
          <t>NG.1</t>
        </is>
      </c>
      <c r="G2" t="inlineStr">
        <is>
          <t>4.17</t>
        </is>
      </c>
      <c r="H2" t="n">
        <v>0</v>
      </c>
      <c r="I2" s="4" t="n">
        <v>60.38</v>
      </c>
      <c r="J2" s="4" t="n">
        <v>-31.49</v>
      </c>
      <c r="K2" s="4" t="n">
        <v>15.09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Malachite</t>
        </is>
      </c>
      <c r="E3" t="inlineStr">
        <is>
          <t>pedestal</t>
        </is>
      </c>
      <c r="F3" t="inlineStr">
        <is>
          <t>NG.1</t>
        </is>
      </c>
      <c r="G3" t="inlineStr">
        <is>
          <t>4.20</t>
        </is>
      </c>
      <c r="H3" t="n">
        <v>3</v>
      </c>
      <c r="I3" t="n">
        <v>62.69</v>
      </c>
      <c r="J3" t="n">
        <v>-30.44</v>
      </c>
      <c r="K3" t="n">
        <v>13.59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Malachite</t>
        </is>
      </c>
      <c r="E4" t="inlineStr">
        <is>
          <t>pedestal</t>
        </is>
      </c>
      <c r="F4" t="inlineStr">
        <is>
          <t>NG.1</t>
        </is>
      </c>
      <c r="G4" t="inlineStr">
        <is>
          <t>4.23</t>
        </is>
      </c>
      <c r="H4" t="n">
        <v>6</v>
      </c>
      <c r="I4" t="n">
        <v>61.32</v>
      </c>
      <c r="J4" t="n">
        <v>-30.34</v>
      </c>
      <c r="K4" t="n">
        <v>13.99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Malachite</t>
        </is>
      </c>
      <c r="E5" t="inlineStr">
        <is>
          <t>pedestal</t>
        </is>
      </c>
      <c r="F5" t="inlineStr">
        <is>
          <t>NG.1</t>
        </is>
      </c>
      <c r="G5" t="inlineStr">
        <is>
          <t>4.26</t>
        </is>
      </c>
      <c r="H5" t="n">
        <v>9</v>
      </c>
      <c r="I5" t="n">
        <v>61.15</v>
      </c>
      <c r="J5" t="n">
        <v>-31.95</v>
      </c>
      <c r="K5" t="n">
        <v>15.47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Malachite</t>
        </is>
      </c>
      <c r="E6" t="inlineStr">
        <is>
          <t>pedestal</t>
        </is>
      </c>
      <c r="F6" t="inlineStr">
        <is>
          <t>NG.1</t>
        </is>
      </c>
      <c r="G6" t="inlineStr">
        <is>
          <t>4.29</t>
        </is>
      </c>
      <c r="H6" t="n">
        <v>12</v>
      </c>
      <c r="I6" t="n">
        <v>60.63</v>
      </c>
      <c r="J6" t="n">
        <v>-29.65</v>
      </c>
      <c r="K6" t="n">
        <v>14.11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Malachite</t>
        </is>
      </c>
      <c r="E7" t="inlineStr">
        <is>
          <t>pedestal</t>
        </is>
      </c>
      <c r="F7" t="inlineStr">
        <is>
          <t>NG.1</t>
        </is>
      </c>
      <c r="G7" t="inlineStr">
        <is>
          <t>5.12</t>
        </is>
      </c>
      <c r="H7" t="n">
        <v>25</v>
      </c>
      <c r="I7" t="n">
        <v>61.27</v>
      </c>
      <c r="J7" t="n">
        <v>-31.9</v>
      </c>
      <c r="K7" t="n">
        <v>14.7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Malachite</t>
        </is>
      </c>
      <c r="E8" t="inlineStr">
        <is>
          <t>pedestal</t>
        </is>
      </c>
      <c r="F8" t="inlineStr">
        <is>
          <t>NG.1</t>
        </is>
      </c>
      <c r="G8" t="inlineStr">
        <is>
          <t>5.14</t>
        </is>
      </c>
      <c r="H8" t="n">
        <v>27</v>
      </c>
      <c r="I8" t="n">
        <v>61.75</v>
      </c>
      <c r="J8" t="n">
        <v>-31.68</v>
      </c>
      <c r="K8" t="n">
        <v>14.31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Malachite</t>
        </is>
      </c>
      <c r="E9" t="inlineStr">
        <is>
          <t>pedestal</t>
        </is>
      </c>
      <c r="F9" t="inlineStr">
        <is>
          <t>NG.1</t>
        </is>
      </c>
      <c r="G9" t="inlineStr">
        <is>
          <t>5.18</t>
        </is>
      </c>
      <c r="H9" t="n">
        <v>31</v>
      </c>
      <c r="I9" t="n">
        <v>62.02</v>
      </c>
      <c r="J9" t="n">
        <v>-32.34</v>
      </c>
      <c r="K9" t="n">
        <v>16.08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Malachite</t>
        </is>
      </c>
      <c r="E10" t="inlineStr">
        <is>
          <t>pedestal</t>
        </is>
      </c>
      <c r="F10" t="inlineStr">
        <is>
          <t>NG.1</t>
        </is>
      </c>
      <c r="G10" t="inlineStr">
        <is>
          <t>5.21</t>
        </is>
      </c>
      <c r="H10" t="n">
        <v>34</v>
      </c>
      <c r="I10" t="n">
        <v>61.34</v>
      </c>
      <c r="J10" t="n">
        <v>-32.41</v>
      </c>
      <c r="K10" t="n">
        <v>15.73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Malachite</t>
        </is>
      </c>
      <c r="E11" t="inlineStr">
        <is>
          <t>pedestal</t>
        </is>
      </c>
      <c r="F11" t="inlineStr">
        <is>
          <t>NG.1</t>
        </is>
      </c>
      <c r="G11" t="inlineStr">
        <is>
          <t>5.24</t>
        </is>
      </c>
      <c r="H11" t="n">
        <v>37</v>
      </c>
      <c r="I11" t="n">
        <v>60.69</v>
      </c>
      <c r="J11" t="n">
        <v>-28.58</v>
      </c>
      <c r="K11" t="n">
        <v>14.58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Malachite</t>
        </is>
      </c>
      <c r="E12" t="inlineStr">
        <is>
          <t>pedestal</t>
        </is>
      </c>
      <c r="F12" t="inlineStr">
        <is>
          <t>NG.1</t>
        </is>
      </c>
      <c r="G12" t="inlineStr">
        <is>
          <t>5.28</t>
        </is>
      </c>
      <c r="H12" t="n">
        <v>41</v>
      </c>
      <c r="I12" t="n">
        <v>60.95</v>
      </c>
      <c r="J12" t="n">
        <v>-30.35</v>
      </c>
      <c r="K12" t="n">
        <v>15.19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Malachite</t>
        </is>
      </c>
      <c r="E13" t="inlineStr">
        <is>
          <t>pedestal</t>
        </is>
      </c>
      <c r="F13" t="inlineStr">
        <is>
          <t>NG.1</t>
        </is>
      </c>
      <c r="G13" t="inlineStr">
        <is>
          <t>6.09</t>
        </is>
      </c>
      <c r="H13" t="n">
        <v>53</v>
      </c>
      <c r="I13" t="n">
        <v>62.16</v>
      </c>
      <c r="J13" t="n">
        <v>-31.69</v>
      </c>
      <c r="K13" t="n">
        <v>15.6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Malachite</t>
        </is>
      </c>
      <c r="E14" t="inlineStr">
        <is>
          <t>pedestal</t>
        </is>
      </c>
      <c r="F14" t="inlineStr">
        <is>
          <t>NG.1</t>
        </is>
      </c>
      <c r="G14" t="inlineStr">
        <is>
          <t>6.13</t>
        </is>
      </c>
      <c r="H14" t="n">
        <v>57</v>
      </c>
      <c r="I14" t="n">
        <v>61.83</v>
      </c>
      <c r="J14" t="n">
        <v>-31.49</v>
      </c>
      <c r="K14" t="n">
        <v>15.42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Malachite</t>
        </is>
      </c>
      <c r="E15" t="inlineStr">
        <is>
          <t>pedestal</t>
        </is>
      </c>
      <c r="F15" t="inlineStr">
        <is>
          <t>NG.1</t>
        </is>
      </c>
      <c r="G15" t="inlineStr">
        <is>
          <t>6.17</t>
        </is>
      </c>
      <c r="H15" t="n">
        <v>61</v>
      </c>
      <c r="I15" t="n">
        <v>61.43</v>
      </c>
      <c r="J15" t="n">
        <v>-31.64</v>
      </c>
      <c r="K15" t="n">
        <v>15.58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Malachite</t>
        </is>
      </c>
      <c r="E16" t="inlineStr">
        <is>
          <t>pedestal</t>
        </is>
      </c>
      <c r="F16" t="inlineStr">
        <is>
          <t>NG.2</t>
        </is>
      </c>
      <c r="G16" t="inlineStr">
        <is>
          <t>4.17</t>
        </is>
      </c>
      <c r="H16" t="n">
        <v>0</v>
      </c>
      <c r="I16" s="4" t="n">
        <v>59.98</v>
      </c>
      <c r="J16" s="4" t="n">
        <v>-32.59</v>
      </c>
      <c r="K16" s="4" t="n">
        <v>14.98</v>
      </c>
      <c r="L16" t="n">
        <v>0</v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Malachite</t>
        </is>
      </c>
      <c r="E17" t="inlineStr">
        <is>
          <t>pedestal</t>
        </is>
      </c>
      <c r="F17" t="inlineStr">
        <is>
          <t>NG.2</t>
        </is>
      </c>
      <c r="G17" t="inlineStr">
        <is>
          <t>4.20</t>
        </is>
      </c>
      <c r="H17" t="n">
        <v>3</v>
      </c>
      <c r="I17" t="n">
        <v>60.23</v>
      </c>
      <c r="J17" t="n">
        <v>-32.68</v>
      </c>
      <c r="K17" t="n">
        <v>15.64</v>
      </c>
      <c r="L17">
        <f>ROUND(SQRT((I17-I16)^2+(J17-J16)^2+(K17-K16)^2),2)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Malachite</t>
        </is>
      </c>
      <c r="E18" t="inlineStr">
        <is>
          <t>pedestal</t>
        </is>
      </c>
      <c r="F18" t="inlineStr">
        <is>
          <t>NG.2</t>
        </is>
      </c>
      <c r="G18" t="inlineStr">
        <is>
          <t>4.23</t>
        </is>
      </c>
      <c r="H18" t="n">
        <v>6</v>
      </c>
      <c r="I18" t="n">
        <v>60</v>
      </c>
      <c r="J18" t="n">
        <v>-32.16</v>
      </c>
      <c r="K18" t="n">
        <v>15.07</v>
      </c>
      <c r="L18">
        <f>ROUND(SQRT((I18-I16)^2+(J18-J16)^2+(K18-K16)^2),2)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Malachite</t>
        </is>
      </c>
      <c r="E19" t="inlineStr">
        <is>
          <t>pedestal</t>
        </is>
      </c>
      <c r="F19" t="inlineStr">
        <is>
          <t>NG.2</t>
        </is>
      </c>
      <c r="G19" t="inlineStr">
        <is>
          <t>4.26</t>
        </is>
      </c>
      <c r="H19" t="n">
        <v>9</v>
      </c>
      <c r="I19" t="n">
        <v>59.89</v>
      </c>
      <c r="J19" t="n">
        <v>-32.53</v>
      </c>
      <c r="K19" t="n">
        <v>15.63</v>
      </c>
      <c r="L19">
        <f>ROUND(SQRT((I19-I16)^2+(J19-J16)^2+(K19-K16)^2),2)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Malachite</t>
        </is>
      </c>
      <c r="E20" t="inlineStr">
        <is>
          <t>pedestal</t>
        </is>
      </c>
      <c r="F20" t="inlineStr">
        <is>
          <t>NG.2</t>
        </is>
      </c>
      <c r="G20" t="inlineStr">
        <is>
          <t>4.29</t>
        </is>
      </c>
      <c r="H20" t="n">
        <v>12</v>
      </c>
      <c r="I20" t="n">
        <v>60.4</v>
      </c>
      <c r="J20" t="n">
        <v>-32.38</v>
      </c>
      <c r="K20" t="n">
        <v>14.95</v>
      </c>
      <c r="L20">
        <f>ROUND(SQRT((I20-I16)^2+(J20-J16)^2+(K20-K16)^2),2)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Malachite</t>
        </is>
      </c>
      <c r="E21" t="inlineStr">
        <is>
          <t>pedestal</t>
        </is>
      </c>
      <c r="F21" t="inlineStr">
        <is>
          <t>NG.2</t>
        </is>
      </c>
      <c r="G21" t="inlineStr">
        <is>
          <t>5.12</t>
        </is>
      </c>
      <c r="H21" t="n">
        <v>25</v>
      </c>
      <c r="I21" t="n">
        <v>60.43</v>
      </c>
      <c r="J21" t="n">
        <v>-31.76</v>
      </c>
      <c r="K21" t="n">
        <v>15.02</v>
      </c>
      <c r="L21">
        <f>ROUND(SQRT((I21-I16)^2+(J21-J16)^2+(K21-K16)^2),2)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Malachite</t>
        </is>
      </c>
      <c r="E22" t="inlineStr">
        <is>
          <t>pedestal</t>
        </is>
      </c>
      <c r="F22" t="inlineStr">
        <is>
          <t>NG.2</t>
        </is>
      </c>
      <c r="G22" t="inlineStr">
        <is>
          <t>5.14</t>
        </is>
      </c>
      <c r="H22" t="n">
        <v>27</v>
      </c>
      <c r="I22" t="n">
        <v>60.67</v>
      </c>
      <c r="J22" t="n">
        <v>-32.25</v>
      </c>
      <c r="K22" t="n">
        <v>14.85</v>
      </c>
      <c r="L22">
        <f>ROUND(SQRT((I22-I16)^2+(J22-J16)^2+(K22-K16)^2),2)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Malachite</t>
        </is>
      </c>
      <c r="E23" t="inlineStr">
        <is>
          <t>pedestal</t>
        </is>
      </c>
      <c r="F23" t="inlineStr">
        <is>
          <t>NG.2</t>
        </is>
      </c>
      <c r="G23" t="inlineStr">
        <is>
          <t>5.18</t>
        </is>
      </c>
      <c r="H23" t="n">
        <v>31</v>
      </c>
      <c r="I23" t="n">
        <v>60.58</v>
      </c>
      <c r="J23" t="n">
        <v>-32.93</v>
      </c>
      <c r="K23" t="n">
        <v>15.59</v>
      </c>
      <c r="L23">
        <f>ROUND(SQRT((I23-I16)^2+(J23-J16)^2+(K23-K16)^2),2)</f>
        <v/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Malachite</t>
        </is>
      </c>
      <c r="E24" t="inlineStr">
        <is>
          <t>pedestal</t>
        </is>
      </c>
      <c r="F24" t="inlineStr">
        <is>
          <t>NG.2</t>
        </is>
      </c>
      <c r="G24" t="inlineStr">
        <is>
          <t>5.21</t>
        </is>
      </c>
      <c r="H24" t="n">
        <v>34</v>
      </c>
      <c r="I24" t="n">
        <v>60.72</v>
      </c>
      <c r="J24" t="n">
        <v>-32.96</v>
      </c>
      <c r="K24" t="n">
        <v>15.64</v>
      </c>
      <c r="L24">
        <f>ROUND(SQRT((I24-I16)^2+(J24-J16)^2+(K24-K16)^2),2)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Malachite</t>
        </is>
      </c>
      <c r="E25" t="inlineStr">
        <is>
          <t>pedestal</t>
        </is>
      </c>
      <c r="F25" t="inlineStr">
        <is>
          <t>NG.2</t>
        </is>
      </c>
      <c r="G25" t="inlineStr">
        <is>
          <t>5.24</t>
        </is>
      </c>
      <c r="H25" t="n">
        <v>37</v>
      </c>
      <c r="I25" t="n">
        <v>60.55</v>
      </c>
      <c r="J25" t="n">
        <v>-32.77</v>
      </c>
      <c r="K25" t="n">
        <v>15.43</v>
      </c>
      <c r="L25">
        <f>ROUND(SQRT((I25-I16)^2+(J25-J16)^2+(K25-K16)^2),2)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Malachite</t>
        </is>
      </c>
      <c r="E26" t="inlineStr">
        <is>
          <t>pedestal</t>
        </is>
      </c>
      <c r="F26" t="inlineStr">
        <is>
          <t>NG.2</t>
        </is>
      </c>
      <c r="G26" t="inlineStr">
        <is>
          <t>5.28</t>
        </is>
      </c>
      <c r="H26" t="n">
        <v>41</v>
      </c>
      <c r="I26" t="n">
        <v>60.43</v>
      </c>
      <c r="J26" t="n">
        <v>-32.39</v>
      </c>
      <c r="K26" t="n">
        <v>15.4</v>
      </c>
      <c r="L26">
        <f>ROUND(SQRT((I26-I16)^2+(J26-J16)^2+(K26-K16)^2),2)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Malachite</t>
        </is>
      </c>
      <c r="E27" t="inlineStr">
        <is>
          <t>pedestal</t>
        </is>
      </c>
      <c r="F27" t="inlineStr">
        <is>
          <t>NG.2</t>
        </is>
      </c>
      <c r="G27" t="inlineStr">
        <is>
          <t>6.09</t>
        </is>
      </c>
      <c r="H27" t="n">
        <v>53</v>
      </c>
      <c r="I27" t="n">
        <v>60.11</v>
      </c>
      <c r="J27" t="n">
        <v>-31.9</v>
      </c>
      <c r="K27" t="n">
        <v>15.1</v>
      </c>
      <c r="L27">
        <f>ROUND(SQRT((I27-I16)^2+(J27-J16)^2+(K27-K16)^2),2)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Malachite</t>
        </is>
      </c>
      <c r="E28" t="inlineStr">
        <is>
          <t>pedestal</t>
        </is>
      </c>
      <c r="F28" t="inlineStr">
        <is>
          <t>NG.2</t>
        </is>
      </c>
      <c r="G28" t="inlineStr">
        <is>
          <t>6.13</t>
        </is>
      </c>
      <c r="H28" t="n">
        <v>57</v>
      </c>
      <c r="I28" t="n">
        <v>60.58</v>
      </c>
      <c r="J28" t="n">
        <v>-32.41</v>
      </c>
      <c r="K28" t="n">
        <v>15.93</v>
      </c>
      <c r="L28">
        <f>ROUND(SQRT((I28-I16)^2+(J28-J16)^2+(K28-K16)^2),2)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Malachite</t>
        </is>
      </c>
      <c r="E29" t="inlineStr">
        <is>
          <t>pedestal</t>
        </is>
      </c>
      <c r="F29" t="inlineStr">
        <is>
          <t>NG.2</t>
        </is>
      </c>
      <c r="G29" t="inlineStr">
        <is>
          <t>6.17</t>
        </is>
      </c>
      <c r="H29" t="n">
        <v>61</v>
      </c>
      <c r="I29" t="n">
        <v>60.41</v>
      </c>
      <c r="J29" t="n">
        <v>-32.31</v>
      </c>
      <c r="K29" t="n">
        <v>15.47</v>
      </c>
      <c r="L29">
        <f>ROUND(SQRT((I29-I16)^2+(J29-J16)^2+(K29-K16)^2),2)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Malachite</t>
        </is>
      </c>
      <c r="E30" t="inlineStr">
        <is>
          <t>pedestal</t>
        </is>
      </c>
      <c r="F30" t="inlineStr">
        <is>
          <t>NG.3</t>
        </is>
      </c>
      <c r="G30" t="inlineStr">
        <is>
          <t>4.17</t>
        </is>
      </c>
      <c r="H30" t="n">
        <v>0</v>
      </c>
      <c r="I30" s="4" t="n">
        <v>61.84</v>
      </c>
      <c r="J30" s="4" t="n">
        <v>-30.81</v>
      </c>
      <c r="K30" s="4" t="n">
        <v>14.68</v>
      </c>
      <c r="L30" t="n">
        <v>0</v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Malachite</t>
        </is>
      </c>
      <c r="E31" t="inlineStr">
        <is>
          <t>pedestal</t>
        </is>
      </c>
      <c r="F31" t="inlineStr">
        <is>
          <t>NG.3</t>
        </is>
      </c>
      <c r="G31" t="inlineStr">
        <is>
          <t>4.20</t>
        </is>
      </c>
      <c r="H31" t="n">
        <v>3</v>
      </c>
      <c r="I31" t="n">
        <v>61.24</v>
      </c>
      <c r="J31" t="n">
        <v>-31.89</v>
      </c>
      <c r="K31" t="n">
        <v>15.05</v>
      </c>
      <c r="L31">
        <f>ROUND(SQRT((I31-I30)^2+(J31-J30)^2+(K31-K30)^2),2)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Malachite</t>
        </is>
      </c>
      <c r="E32" t="inlineStr">
        <is>
          <t>pedestal</t>
        </is>
      </c>
      <c r="F32" t="inlineStr">
        <is>
          <t>NG.3</t>
        </is>
      </c>
      <c r="G32" t="inlineStr">
        <is>
          <t>4.23</t>
        </is>
      </c>
      <c r="H32" t="n">
        <v>6</v>
      </c>
      <c r="I32" t="n">
        <v>61.25</v>
      </c>
      <c r="J32" t="n">
        <v>-32.39</v>
      </c>
      <c r="K32" t="n">
        <v>15.41</v>
      </c>
      <c r="L32">
        <f>ROUND(SQRT((I32-I30)^2+(J32-J30)^2+(K32-K30)^2),2)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Malachite</t>
        </is>
      </c>
      <c r="E33" t="inlineStr">
        <is>
          <t>pedestal</t>
        </is>
      </c>
      <c r="F33" t="inlineStr">
        <is>
          <t>NG.3</t>
        </is>
      </c>
      <c r="G33" t="inlineStr">
        <is>
          <t>4.26</t>
        </is>
      </c>
      <c r="H33" t="n">
        <v>9</v>
      </c>
      <c r="I33" t="n">
        <v>61.93</v>
      </c>
      <c r="J33" t="n">
        <v>-31.66</v>
      </c>
      <c r="K33" t="n">
        <v>14.83</v>
      </c>
      <c r="L33">
        <f>ROUND(SQRT((I33-I30)^2+(J33-J30)^2+(K33-K30)^2),2)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Malachite</t>
        </is>
      </c>
      <c r="E34" t="inlineStr">
        <is>
          <t>pedestal</t>
        </is>
      </c>
      <c r="F34" t="inlineStr">
        <is>
          <t>NG.3</t>
        </is>
      </c>
      <c r="G34" t="inlineStr">
        <is>
          <t>4.29</t>
        </is>
      </c>
      <c r="H34" t="n">
        <v>12</v>
      </c>
      <c r="I34" t="n">
        <v>60.9</v>
      </c>
      <c r="J34" t="n">
        <v>-32.86</v>
      </c>
      <c r="K34" t="n">
        <v>15.52</v>
      </c>
      <c r="L34">
        <f>ROUND(SQRT((I34-I30)^2+(J34-J30)^2+(K34-K30)^2),2)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Malachite</t>
        </is>
      </c>
      <c r="E35" t="inlineStr">
        <is>
          <t>pedestal</t>
        </is>
      </c>
      <c r="F35" t="inlineStr">
        <is>
          <t>NG.3</t>
        </is>
      </c>
      <c r="G35" t="inlineStr">
        <is>
          <t>5.12</t>
        </is>
      </c>
      <c r="H35" t="n">
        <v>25</v>
      </c>
      <c r="I35" t="n">
        <v>62.49</v>
      </c>
      <c r="J35" t="n">
        <v>-31.64</v>
      </c>
      <c r="K35" t="n">
        <v>14.57</v>
      </c>
      <c r="L35">
        <f>ROUND(SQRT((I35-I30)^2+(J35-J30)^2+(K35-K30)^2),2)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Malachite</t>
        </is>
      </c>
      <c r="E36" t="inlineStr">
        <is>
          <t>pedestal</t>
        </is>
      </c>
      <c r="F36" t="inlineStr">
        <is>
          <t>NG.3</t>
        </is>
      </c>
      <c r="G36" t="inlineStr">
        <is>
          <t>5.14</t>
        </is>
      </c>
      <c r="H36" t="n">
        <v>27</v>
      </c>
      <c r="I36" t="n">
        <v>62.47</v>
      </c>
      <c r="J36" t="n">
        <v>-32.22</v>
      </c>
      <c r="K36" t="n">
        <v>14.77</v>
      </c>
      <c r="L36">
        <f>ROUND(SQRT((I36-I30)^2+(J36-J30)^2+(K36-K30)^2),2)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Malachite</t>
        </is>
      </c>
      <c r="E37" t="inlineStr">
        <is>
          <t>pedestal</t>
        </is>
      </c>
      <c r="F37" t="inlineStr">
        <is>
          <t>NG.3</t>
        </is>
      </c>
      <c r="G37" t="inlineStr">
        <is>
          <t>5.18</t>
        </is>
      </c>
      <c r="H37" t="n">
        <v>31</v>
      </c>
      <c r="I37" t="n">
        <v>61.48</v>
      </c>
      <c r="J37" t="n">
        <v>-32.58</v>
      </c>
      <c r="K37" t="n">
        <v>15.21</v>
      </c>
      <c r="L37">
        <f>ROUND(SQRT((I37-I30)^2+(J37-J30)^2+(K37-K30)^2),2)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Malachite</t>
        </is>
      </c>
      <c r="E38" t="inlineStr">
        <is>
          <t>pedestal</t>
        </is>
      </c>
      <c r="F38" t="inlineStr">
        <is>
          <t>NG.3</t>
        </is>
      </c>
      <c r="G38" t="inlineStr">
        <is>
          <t>5.21</t>
        </is>
      </c>
      <c r="H38" t="n">
        <v>34</v>
      </c>
      <c r="I38" t="n">
        <v>61.21</v>
      </c>
      <c r="J38" t="n">
        <v>-32.75</v>
      </c>
      <c r="K38" t="n">
        <v>16.04</v>
      </c>
      <c r="L38">
        <f>ROUND(SQRT((I38-I30)^2+(J38-J30)^2+(K38-K30)^2),2)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Malachite</t>
        </is>
      </c>
      <c r="E39" t="inlineStr">
        <is>
          <t>pedestal</t>
        </is>
      </c>
      <c r="F39" t="inlineStr">
        <is>
          <t>NG.3</t>
        </is>
      </c>
      <c r="G39" t="inlineStr">
        <is>
          <t>5.24</t>
        </is>
      </c>
      <c r="H39" t="n">
        <v>37</v>
      </c>
      <c r="I39" t="n">
        <v>60.83</v>
      </c>
      <c r="J39" t="n">
        <v>-32.47</v>
      </c>
      <c r="K39" t="n">
        <v>15.13</v>
      </c>
      <c r="L39">
        <f>ROUND(SQRT((I39-I30)^2+(J39-J30)^2+(K39-K30)^2),2)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Malachite</t>
        </is>
      </c>
      <c r="E40" t="inlineStr">
        <is>
          <t>pedestal</t>
        </is>
      </c>
      <c r="F40" t="inlineStr">
        <is>
          <t>NG.3</t>
        </is>
      </c>
      <c r="G40" t="inlineStr">
        <is>
          <t>5.28</t>
        </is>
      </c>
      <c r="H40" t="n">
        <v>41</v>
      </c>
      <c r="I40" t="n">
        <v>60.79</v>
      </c>
      <c r="J40" t="n">
        <v>-32.22</v>
      </c>
      <c r="K40" t="n">
        <v>15.18</v>
      </c>
      <c r="L40">
        <f>ROUND(SQRT((I40-I30)^2+(J40-J30)^2+(K40-K30)^2),2)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Malachite</t>
        </is>
      </c>
      <c r="E41" t="inlineStr">
        <is>
          <t>pedestal</t>
        </is>
      </c>
      <c r="F41" t="inlineStr">
        <is>
          <t>NG.3</t>
        </is>
      </c>
      <c r="G41" t="inlineStr">
        <is>
          <t>6.09</t>
        </is>
      </c>
      <c r="H41" t="n">
        <v>53</v>
      </c>
      <c r="I41" t="n">
        <v>61.78</v>
      </c>
      <c r="J41" t="n">
        <v>-30.27</v>
      </c>
      <c r="K41" t="n">
        <v>14</v>
      </c>
      <c r="L41">
        <f>ROUND(SQRT((I41-I30)^2+(J41-J30)^2+(K41-K30)^2),2)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Malachite</t>
        </is>
      </c>
      <c r="E42" t="inlineStr">
        <is>
          <t>pedestal</t>
        </is>
      </c>
      <c r="F42" t="inlineStr">
        <is>
          <t>NG.3</t>
        </is>
      </c>
      <c r="G42" t="inlineStr">
        <is>
          <t>6.13</t>
        </is>
      </c>
      <c r="H42" t="n">
        <v>57</v>
      </c>
      <c r="I42" t="n">
        <v>62.33</v>
      </c>
      <c r="J42" t="n">
        <v>-31.72</v>
      </c>
      <c r="K42" t="n">
        <v>15.12</v>
      </c>
      <c r="L42">
        <f>ROUND(SQRT((I42-I30)^2+(J42-J30)^2+(K42-K30)^2),2)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Malachite</t>
        </is>
      </c>
      <c r="E43" t="inlineStr">
        <is>
          <t>pedestal</t>
        </is>
      </c>
      <c r="F43" t="inlineStr">
        <is>
          <t>NG.3</t>
        </is>
      </c>
      <c r="G43" t="inlineStr">
        <is>
          <t>6.17</t>
        </is>
      </c>
      <c r="H43" t="n">
        <v>61</v>
      </c>
      <c r="I43" t="n">
        <v>61.02</v>
      </c>
      <c r="J43" t="n">
        <v>-32.12</v>
      </c>
      <c r="K43" t="n">
        <v>15.12</v>
      </c>
      <c r="L43">
        <f>ROUND(SQRT((I43-I30)^2+(J43-J30)^2+(K43-K30)^2),2)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Malachite</t>
        </is>
      </c>
      <c r="E44" t="inlineStr">
        <is>
          <t>block</t>
        </is>
      </c>
      <c r="F44" t="inlineStr">
        <is>
          <t>NTG.1</t>
        </is>
      </c>
      <c r="G44" t="inlineStr">
        <is>
          <t>4.17</t>
        </is>
      </c>
      <c r="H44" t="n">
        <v>0</v>
      </c>
      <c r="I44" s="4" t="n">
        <v>62.65</v>
      </c>
      <c r="J44" s="4" t="n">
        <v>-28.79</v>
      </c>
      <c r="K44" s="4" t="n">
        <v>13.52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Malachite</t>
        </is>
      </c>
      <c r="E45" t="inlineStr">
        <is>
          <t>block</t>
        </is>
      </c>
      <c r="F45" t="inlineStr">
        <is>
          <t>NTG.1</t>
        </is>
      </c>
      <c r="G45" t="inlineStr">
        <is>
          <t>4.20</t>
        </is>
      </c>
      <c r="H45" t="n">
        <v>3</v>
      </c>
      <c r="I45" t="n">
        <v>62.5</v>
      </c>
      <c r="J45" t="n">
        <v>-28.96</v>
      </c>
      <c r="K45" t="n">
        <v>13.92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Malachite</t>
        </is>
      </c>
      <c r="E46" t="inlineStr">
        <is>
          <t>block</t>
        </is>
      </c>
      <c r="F46" t="inlineStr">
        <is>
          <t>NTG.1</t>
        </is>
      </c>
      <c r="G46" t="inlineStr">
        <is>
          <t>4.23</t>
        </is>
      </c>
      <c r="H46" t="n">
        <v>6</v>
      </c>
      <c r="I46" t="n">
        <v>63.62</v>
      </c>
      <c r="J46" t="n">
        <v>-27.26</v>
      </c>
      <c r="K46" t="n">
        <v>12.74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Malachite</t>
        </is>
      </c>
      <c r="E47" t="inlineStr">
        <is>
          <t>block</t>
        </is>
      </c>
      <c r="F47" t="inlineStr">
        <is>
          <t>NTG.1</t>
        </is>
      </c>
      <c r="G47" t="inlineStr">
        <is>
          <t>4.26</t>
        </is>
      </c>
      <c r="H47" t="n">
        <v>9</v>
      </c>
      <c r="I47" t="n">
        <v>62.67</v>
      </c>
      <c r="J47" t="n">
        <v>-27.75</v>
      </c>
      <c r="K47" t="n">
        <v>12.47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Malachite</t>
        </is>
      </c>
      <c r="E48" t="inlineStr">
        <is>
          <t>block</t>
        </is>
      </c>
      <c r="F48" t="inlineStr">
        <is>
          <t>NTG.1</t>
        </is>
      </c>
      <c r="G48" t="inlineStr">
        <is>
          <t>4.29</t>
        </is>
      </c>
      <c r="H48" t="n">
        <v>12</v>
      </c>
      <c r="I48" t="n">
        <v>62.81</v>
      </c>
      <c r="J48" t="n">
        <v>-28.46</v>
      </c>
      <c r="K48" t="n">
        <v>12.78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Malachite</t>
        </is>
      </c>
      <c r="E49" t="inlineStr">
        <is>
          <t>block</t>
        </is>
      </c>
      <c r="F49" t="inlineStr">
        <is>
          <t>NTG.1</t>
        </is>
      </c>
      <c r="G49" t="inlineStr">
        <is>
          <t>5.12</t>
        </is>
      </c>
      <c r="H49" t="n">
        <v>25</v>
      </c>
      <c r="I49" t="n">
        <v>63.11</v>
      </c>
      <c r="J49" t="n">
        <v>-28.26</v>
      </c>
      <c r="K49" t="n">
        <v>12.66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Malachite</t>
        </is>
      </c>
      <c r="E50" t="inlineStr">
        <is>
          <t>block</t>
        </is>
      </c>
      <c r="F50" t="inlineStr">
        <is>
          <t>NTG.1</t>
        </is>
      </c>
      <c r="G50" t="inlineStr">
        <is>
          <t>5.14</t>
        </is>
      </c>
      <c r="H50" t="n">
        <v>27</v>
      </c>
      <c r="I50" t="n">
        <v>63.3</v>
      </c>
      <c r="J50" t="n">
        <v>-28.53</v>
      </c>
      <c r="K50" t="n">
        <v>12.28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Malachite</t>
        </is>
      </c>
      <c r="E51" t="inlineStr">
        <is>
          <t>block</t>
        </is>
      </c>
      <c r="F51" t="inlineStr">
        <is>
          <t>NTG.1</t>
        </is>
      </c>
      <c r="G51" t="inlineStr">
        <is>
          <t>5.18</t>
        </is>
      </c>
      <c r="H51" t="n">
        <v>31</v>
      </c>
      <c r="I51" t="n">
        <v>62.62</v>
      </c>
      <c r="J51" t="n">
        <v>-28.9</v>
      </c>
      <c r="K51" t="n">
        <v>13.44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Malachite</t>
        </is>
      </c>
      <c r="E52" t="inlineStr">
        <is>
          <t>block</t>
        </is>
      </c>
      <c r="F52" t="inlineStr">
        <is>
          <t>NTG.1</t>
        </is>
      </c>
      <c r="G52" t="inlineStr">
        <is>
          <t>5.21</t>
        </is>
      </c>
      <c r="H52" t="n">
        <v>34</v>
      </c>
      <c r="I52" t="n">
        <v>62.96</v>
      </c>
      <c r="J52" t="n">
        <v>-28.69</v>
      </c>
      <c r="K52" t="n">
        <v>13.31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Malachite</t>
        </is>
      </c>
      <c r="E53" t="inlineStr">
        <is>
          <t>block</t>
        </is>
      </c>
      <c r="F53" t="inlineStr">
        <is>
          <t>NTG.1</t>
        </is>
      </c>
      <c r="G53" t="inlineStr">
        <is>
          <t>5.24</t>
        </is>
      </c>
      <c r="H53" t="n">
        <v>37</v>
      </c>
      <c r="I53" t="n">
        <v>62.71</v>
      </c>
      <c r="J53" t="n">
        <v>-29.09</v>
      </c>
      <c r="K53" t="n">
        <v>13.24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Malachite</t>
        </is>
      </c>
      <c r="E54" t="inlineStr">
        <is>
          <t>block</t>
        </is>
      </c>
      <c r="F54" t="inlineStr">
        <is>
          <t>NTG.1</t>
        </is>
      </c>
      <c r="G54" t="inlineStr">
        <is>
          <t>5.28</t>
        </is>
      </c>
      <c r="H54" t="n">
        <v>41</v>
      </c>
      <c r="I54" t="n">
        <v>63.04</v>
      </c>
      <c r="J54" t="n">
        <v>-28.87</v>
      </c>
      <c r="K54" t="n">
        <v>13.83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Malachite</t>
        </is>
      </c>
      <c r="E55" t="inlineStr">
        <is>
          <t>block</t>
        </is>
      </c>
      <c r="F55" t="inlineStr">
        <is>
          <t>NTG.1</t>
        </is>
      </c>
      <c r="G55" t="inlineStr">
        <is>
          <t>6.09</t>
        </is>
      </c>
      <c r="H55" t="n">
        <v>53</v>
      </c>
      <c r="I55" t="n">
        <v>62.6</v>
      </c>
      <c r="J55" t="n">
        <v>-29.3</v>
      </c>
      <c r="K55" t="n">
        <v>13.28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Malachite</t>
        </is>
      </c>
      <c r="E56" t="inlineStr">
        <is>
          <t>block</t>
        </is>
      </c>
      <c r="F56" t="inlineStr">
        <is>
          <t>NTG.1</t>
        </is>
      </c>
      <c r="G56" t="inlineStr">
        <is>
          <t>6.13</t>
        </is>
      </c>
      <c r="H56" t="n">
        <v>57</v>
      </c>
      <c r="I56" t="n">
        <v>62.73</v>
      </c>
      <c r="J56" t="n">
        <v>-29.24</v>
      </c>
      <c r="K56" t="n">
        <v>13.62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Malachite</t>
        </is>
      </c>
      <c r="E57" t="inlineStr">
        <is>
          <t>block</t>
        </is>
      </c>
      <c r="F57" t="inlineStr">
        <is>
          <t>NTG.1</t>
        </is>
      </c>
      <c r="G57" t="inlineStr">
        <is>
          <t>6.17</t>
        </is>
      </c>
      <c r="H57" t="n">
        <v>61</v>
      </c>
      <c r="I57" s="4" t="n">
        <v>62.5</v>
      </c>
      <c r="J57" s="4" t="n">
        <v>-27.41</v>
      </c>
      <c r="K57" s="4" t="n">
        <v>12.08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Malachite</t>
        </is>
      </c>
      <c r="E58" t="inlineStr">
        <is>
          <t>block</t>
        </is>
      </c>
      <c r="F58" t="inlineStr">
        <is>
          <t>NTG.2</t>
        </is>
      </c>
      <c r="G58" t="inlineStr">
        <is>
          <t>4.17</t>
        </is>
      </c>
      <c r="H58" t="n">
        <v>0</v>
      </c>
      <c r="I58" t="n">
        <v>61.05</v>
      </c>
      <c r="J58" t="n">
        <v>-31.3</v>
      </c>
      <c r="K58" t="n">
        <v>15.01</v>
      </c>
      <c r="L58" t="n">
        <v>0</v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Malachite</t>
        </is>
      </c>
      <c r="E59" t="inlineStr">
        <is>
          <t>block</t>
        </is>
      </c>
      <c r="F59" t="inlineStr">
        <is>
          <t>NTG.2</t>
        </is>
      </c>
      <c r="G59" t="inlineStr">
        <is>
          <t>4.20</t>
        </is>
      </c>
      <c r="H59" t="n">
        <v>3</v>
      </c>
      <c r="I59" t="n">
        <v>59.85</v>
      </c>
      <c r="J59" t="n">
        <v>-29.92</v>
      </c>
      <c r="K59" t="n">
        <v>13.92</v>
      </c>
      <c r="L59">
        <f>ROUND(SQRT((I59-I58)^2+(J59-J58)^2+(K59-K58)^2),2)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Malachite</t>
        </is>
      </c>
      <c r="E60" t="inlineStr">
        <is>
          <t>block</t>
        </is>
      </c>
      <c r="F60" t="inlineStr">
        <is>
          <t>NTG.2</t>
        </is>
      </c>
      <c r="G60" t="inlineStr">
        <is>
          <t>4.23</t>
        </is>
      </c>
      <c r="H60" t="n">
        <v>6</v>
      </c>
      <c r="I60" t="n">
        <v>60.31</v>
      </c>
      <c r="J60" t="n">
        <v>-30.49</v>
      </c>
      <c r="K60" t="n">
        <v>14.22</v>
      </c>
      <c r="L60">
        <f>ROUND(SQRT((I60-I58)^2+(J60-J58)^2+(K60-K58)^2),2)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Malachite</t>
        </is>
      </c>
      <c r="E61" t="inlineStr">
        <is>
          <t>block</t>
        </is>
      </c>
      <c r="F61" t="inlineStr">
        <is>
          <t>NTG.2</t>
        </is>
      </c>
      <c r="G61" t="inlineStr">
        <is>
          <t>4.26</t>
        </is>
      </c>
      <c r="H61" t="n">
        <v>9</v>
      </c>
      <c r="I61" t="n">
        <v>60.14</v>
      </c>
      <c r="J61" t="n">
        <v>-30.66</v>
      </c>
      <c r="K61" t="n">
        <v>14.64</v>
      </c>
      <c r="L61">
        <f>ROUND(SQRT((I61-I58)^2+(J61-J58)^2+(K61-K58)^2),2)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Malachite</t>
        </is>
      </c>
      <c r="E62" t="inlineStr">
        <is>
          <t>block</t>
        </is>
      </c>
      <c r="F62" t="inlineStr">
        <is>
          <t>NTG.2</t>
        </is>
      </c>
      <c r="G62" t="inlineStr">
        <is>
          <t>4.29</t>
        </is>
      </c>
      <c r="H62" t="n">
        <v>12</v>
      </c>
      <c r="I62" t="n">
        <v>60.45</v>
      </c>
      <c r="J62" t="n">
        <v>-29.71</v>
      </c>
      <c r="K62" t="n">
        <v>13.75</v>
      </c>
      <c r="L62">
        <f>ROUND(SQRT((I62-I58)^2+(J62-J58)^2+(K62-K58)^2),2)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Malachite</t>
        </is>
      </c>
      <c r="E63" t="inlineStr">
        <is>
          <t>block</t>
        </is>
      </c>
      <c r="F63" t="inlineStr">
        <is>
          <t>NTG.2</t>
        </is>
      </c>
      <c r="G63" t="inlineStr">
        <is>
          <t>5.12</t>
        </is>
      </c>
      <c r="H63" t="n">
        <v>25</v>
      </c>
      <c r="I63" t="n">
        <v>61.04</v>
      </c>
      <c r="J63" t="n">
        <v>-30.54</v>
      </c>
      <c r="K63" t="n">
        <v>14.4</v>
      </c>
      <c r="L63">
        <f>ROUND(SQRT((I63-I58)^2+(J63-J58)^2+(K63-K58)^2),2)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Malachite</t>
        </is>
      </c>
      <c r="E64" t="inlineStr">
        <is>
          <t>block</t>
        </is>
      </c>
      <c r="F64" t="inlineStr">
        <is>
          <t>NTG.2</t>
        </is>
      </c>
      <c r="G64" t="inlineStr">
        <is>
          <t>5.14</t>
        </is>
      </c>
      <c r="H64" t="n">
        <v>27</v>
      </c>
      <c r="I64" t="n">
        <v>60.89</v>
      </c>
      <c r="J64" t="n">
        <v>-30.27</v>
      </c>
      <c r="K64" t="n">
        <v>14.11</v>
      </c>
      <c r="L64">
        <f>ROUND(SQRT((I64-I58)^2+(J64-J58)^2+(K64-K58)^2),2)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Malachite</t>
        </is>
      </c>
      <c r="E65" t="inlineStr">
        <is>
          <t>block</t>
        </is>
      </c>
      <c r="F65" t="inlineStr">
        <is>
          <t>NTG.2</t>
        </is>
      </c>
      <c r="G65" t="inlineStr">
        <is>
          <t>5.18</t>
        </is>
      </c>
      <c r="H65" t="n">
        <v>31</v>
      </c>
      <c r="I65" t="n">
        <v>61.94</v>
      </c>
      <c r="J65" t="n">
        <v>-30.46</v>
      </c>
      <c r="K65" t="n">
        <v>14.04</v>
      </c>
      <c r="L65">
        <f>ROUND(SQRT((I65-I58)^2+(J65-J58)^2+(K65-K58)^2),2)</f>
        <v/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Malachite</t>
        </is>
      </c>
      <c r="E66" t="inlineStr">
        <is>
          <t>block</t>
        </is>
      </c>
      <c r="F66" t="inlineStr">
        <is>
          <t>NTG.2</t>
        </is>
      </c>
      <c r="G66" t="inlineStr">
        <is>
          <t>5.21</t>
        </is>
      </c>
      <c r="H66" t="n">
        <v>34</v>
      </c>
      <c r="I66" t="n">
        <v>61.12</v>
      </c>
      <c r="J66" t="n">
        <v>-30.95</v>
      </c>
      <c r="K66" t="n">
        <v>14.93</v>
      </c>
      <c r="L66">
        <f>ROUND(SQRT((I66-I58)^2+(J66-J58)^2+(K66-K58)^2),2)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Malachite</t>
        </is>
      </c>
      <c r="E67" t="inlineStr">
        <is>
          <t>block</t>
        </is>
      </c>
      <c r="F67" t="inlineStr">
        <is>
          <t>NTG.2</t>
        </is>
      </c>
      <c r="G67" t="inlineStr">
        <is>
          <t>5.24</t>
        </is>
      </c>
      <c r="H67" t="n">
        <v>37</v>
      </c>
      <c r="I67" t="n">
        <v>60.9</v>
      </c>
      <c r="J67" t="n">
        <v>-30.62</v>
      </c>
      <c r="K67" t="n">
        <v>14.88</v>
      </c>
      <c r="L67">
        <f>ROUND(SQRT((I67-I58)^2+(J67-J58)^2+(K67-K58)^2),2)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Malachite</t>
        </is>
      </c>
      <c r="E68" t="inlineStr">
        <is>
          <t>block</t>
        </is>
      </c>
      <c r="F68" t="inlineStr">
        <is>
          <t>NTG.2</t>
        </is>
      </c>
      <c r="G68" t="inlineStr">
        <is>
          <t>5.28</t>
        </is>
      </c>
      <c r="H68" t="n">
        <v>41</v>
      </c>
      <c r="I68" t="n">
        <v>60.98</v>
      </c>
      <c r="J68" t="n">
        <v>-30.2</v>
      </c>
      <c r="K68" t="n">
        <v>13.51</v>
      </c>
      <c r="L68">
        <f>ROUND(SQRT((I68-I58)^2+(J68-J58)^2+(K68-K58)^2),2)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Malachite</t>
        </is>
      </c>
      <c r="E69" t="inlineStr">
        <is>
          <t>block</t>
        </is>
      </c>
      <c r="F69" t="inlineStr">
        <is>
          <t>NTG.2</t>
        </is>
      </c>
      <c r="G69" t="inlineStr">
        <is>
          <t>6.09</t>
        </is>
      </c>
      <c r="H69" t="n">
        <v>53</v>
      </c>
      <c r="I69" t="n">
        <v>61.07</v>
      </c>
      <c r="J69" t="n">
        <v>-30.28</v>
      </c>
      <c r="K69" t="n">
        <v>14.97</v>
      </c>
      <c r="L69">
        <f>ROUND(SQRT((I69-I58)^2+(J69-J58)^2+(K69-K58)^2),2)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Malachite</t>
        </is>
      </c>
      <c r="E70" t="inlineStr">
        <is>
          <t>block</t>
        </is>
      </c>
      <c r="F70" t="inlineStr">
        <is>
          <t>NTG.2</t>
        </is>
      </c>
      <c r="G70" t="inlineStr">
        <is>
          <t>6.13</t>
        </is>
      </c>
      <c r="H70" t="n">
        <v>57</v>
      </c>
      <c r="I70" t="n">
        <v>61.42</v>
      </c>
      <c r="J70" t="n">
        <v>-30.75</v>
      </c>
      <c r="K70" t="n">
        <v>14.97</v>
      </c>
      <c r="L70">
        <f>ROUND(SQRT((I70-I58)^2+(J70-J58)^2+(K70-K58)^2),2)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Malachite</t>
        </is>
      </c>
      <c r="E71" t="inlineStr">
        <is>
          <t>block</t>
        </is>
      </c>
      <c r="F71" t="inlineStr">
        <is>
          <t>NTG.2</t>
        </is>
      </c>
      <c r="G71" t="inlineStr">
        <is>
          <t>6.17</t>
        </is>
      </c>
      <c r="H71" t="n">
        <v>61</v>
      </c>
      <c r="I71" t="n">
        <v>61.15</v>
      </c>
      <c r="J71" t="n">
        <v>-29.51</v>
      </c>
      <c r="K71" t="n">
        <v>13.89</v>
      </c>
      <c r="L71">
        <f>ROUND(SQRT((I71-I58)^2+(J71-J58)^2+(K71-K58)^2),2)</f>
        <v/>
      </c>
      <c r="M71" t="inlineStr">
        <is>
          <t>measured</t>
        </is>
      </c>
    </row>
    <row r="72">
      <c r="A72" t="inlineStr">
        <is>
          <t>40C_10RH_chamber</t>
        </is>
      </c>
      <c r="B72" t="inlineStr">
        <is>
          <t>40 C / 10%RH (chamber arm)</t>
        </is>
      </c>
      <c r="C72" t="inlineStr">
        <is>
          <t>measured</t>
        </is>
      </c>
      <c r="D72" t="inlineStr">
        <is>
          <t>Malachite</t>
        </is>
      </c>
      <c r="E72" t="inlineStr">
        <is>
          <t>pedestal</t>
        </is>
      </c>
      <c r="F72" t="inlineStr">
        <is>
          <t>HG.1</t>
        </is>
      </c>
      <c r="G72" t="inlineStr">
        <is>
          <t>4.17</t>
        </is>
      </c>
      <c r="H72" t="n">
        <v>0</v>
      </c>
      <c r="I72" s="4" t="n">
        <v>59.82</v>
      </c>
      <c r="J72" s="4" t="n">
        <v>-31.73</v>
      </c>
      <c r="K72" s="4" t="n">
        <v>15.24</v>
      </c>
      <c r="L72" t="n">
        <v>0</v>
      </c>
      <c r="M72" t="inlineStr">
        <is>
          <t>measured</t>
        </is>
      </c>
    </row>
    <row r="73">
      <c r="A73" t="inlineStr">
        <is>
          <t>40C_10RH_chamber</t>
        </is>
      </c>
      <c r="B73" t="inlineStr">
        <is>
          <t>40 C / 10%RH (chamber arm)</t>
        </is>
      </c>
      <c r="C73" t="inlineStr">
        <is>
          <t>measured</t>
        </is>
      </c>
      <c r="D73" t="inlineStr">
        <is>
          <t>Malachite</t>
        </is>
      </c>
      <c r="E73" t="inlineStr">
        <is>
          <t>pedestal</t>
        </is>
      </c>
      <c r="F73" t="inlineStr">
        <is>
          <t>HG.1</t>
        </is>
      </c>
      <c r="G73" t="inlineStr">
        <is>
          <t>4.20</t>
        </is>
      </c>
      <c r="H73" t="n">
        <v>3</v>
      </c>
      <c r="I73" t="n">
        <v>59.17</v>
      </c>
      <c r="J73" t="n">
        <v>-32.15</v>
      </c>
      <c r="K73" t="n">
        <v>15.24</v>
      </c>
      <c r="L73">
        <f>ROUND(SQRT((I73-I72)^2+(J73-J72)^2+(K73-K72)^2),2)</f>
        <v/>
      </c>
      <c r="M73" t="inlineStr">
        <is>
          <t>measured</t>
        </is>
      </c>
    </row>
    <row r="74">
      <c r="A74" t="inlineStr">
        <is>
          <t>40C_10RH_chamber</t>
        </is>
      </c>
      <c r="B74" t="inlineStr">
        <is>
          <t>40 C / 10%RH (chamber arm)</t>
        </is>
      </c>
      <c r="C74" t="inlineStr">
        <is>
          <t>measured</t>
        </is>
      </c>
      <c r="D74" t="inlineStr">
        <is>
          <t>Malachite</t>
        </is>
      </c>
      <c r="E74" t="inlineStr">
        <is>
          <t>pedestal</t>
        </is>
      </c>
      <c r="F74" t="inlineStr">
        <is>
          <t>HG.1</t>
        </is>
      </c>
      <c r="G74" t="inlineStr">
        <is>
          <t>4.23</t>
        </is>
      </c>
      <c r="H74" t="n">
        <v>6</v>
      </c>
      <c r="I74" t="n">
        <v>59.48</v>
      </c>
      <c r="J74" t="n">
        <v>-31.83</v>
      </c>
      <c r="K74" t="n">
        <v>15.77</v>
      </c>
      <c r="L74">
        <f>ROUND(SQRT((I74-I72)^2+(J74-J72)^2+(K74-K72)^2),2)</f>
        <v/>
      </c>
      <c r="M74" t="inlineStr">
        <is>
          <t>measured</t>
        </is>
      </c>
    </row>
    <row r="75">
      <c r="A75" t="inlineStr">
        <is>
          <t>40C_10RH_chamber</t>
        </is>
      </c>
      <c r="B75" t="inlineStr">
        <is>
          <t>40 C / 10%RH (chamber arm)</t>
        </is>
      </c>
      <c r="C75" t="inlineStr">
        <is>
          <t>measured</t>
        </is>
      </c>
      <c r="D75" t="inlineStr">
        <is>
          <t>Malachite</t>
        </is>
      </c>
      <c r="E75" t="inlineStr">
        <is>
          <t>pedestal</t>
        </is>
      </c>
      <c r="F75" t="inlineStr">
        <is>
          <t>HG.1</t>
        </is>
      </c>
      <c r="G75" t="inlineStr">
        <is>
          <t>4.26</t>
        </is>
      </c>
      <c r="H75" t="n">
        <v>9</v>
      </c>
      <c r="I75" t="n">
        <v>59.15</v>
      </c>
      <c r="J75" t="n">
        <v>-31.1</v>
      </c>
      <c r="K75" t="n">
        <v>14.97</v>
      </c>
      <c r="L75">
        <f>ROUND(SQRT((I75-I72)^2+(J75-J72)^2+(K75-K72)^2),2)</f>
        <v/>
      </c>
      <c r="M75" t="inlineStr">
        <is>
          <t>measured</t>
        </is>
      </c>
    </row>
    <row r="76">
      <c r="A76" t="inlineStr">
        <is>
          <t>40C_10RH_chamber</t>
        </is>
      </c>
      <c r="B76" t="inlineStr">
        <is>
          <t>40 C / 10%RH (chamber arm)</t>
        </is>
      </c>
      <c r="C76" t="inlineStr">
        <is>
          <t>measured</t>
        </is>
      </c>
      <c r="D76" t="inlineStr">
        <is>
          <t>Malachite</t>
        </is>
      </c>
      <c r="E76" t="inlineStr">
        <is>
          <t>pedestal</t>
        </is>
      </c>
      <c r="F76" t="inlineStr">
        <is>
          <t>HG.1</t>
        </is>
      </c>
      <c r="G76" t="inlineStr">
        <is>
          <t>4.29</t>
        </is>
      </c>
      <c r="H76" t="n">
        <v>12</v>
      </c>
      <c r="I76" t="n">
        <v>59.73</v>
      </c>
      <c r="J76" t="n">
        <v>-31.29</v>
      </c>
      <c r="K76" t="n">
        <v>15.1</v>
      </c>
      <c r="L76">
        <f>ROUND(SQRT((I76-I72)^2+(J76-J72)^2+(K76-K72)^2),2)</f>
        <v/>
      </c>
      <c r="M76" t="inlineStr">
        <is>
          <t>measured</t>
        </is>
      </c>
    </row>
    <row r="77">
      <c r="A77" t="inlineStr">
        <is>
          <t>40C_10RH_chamber</t>
        </is>
      </c>
      <c r="B77" t="inlineStr">
        <is>
          <t>40 C / 10%RH (chamber arm)</t>
        </is>
      </c>
      <c r="C77" t="inlineStr">
        <is>
          <t>measured</t>
        </is>
      </c>
      <c r="D77" t="inlineStr">
        <is>
          <t>Malachite</t>
        </is>
      </c>
      <c r="E77" t="inlineStr">
        <is>
          <t>pedestal</t>
        </is>
      </c>
      <c r="F77" t="inlineStr">
        <is>
          <t>HG.1</t>
        </is>
      </c>
      <c r="G77" t="inlineStr">
        <is>
          <t>5.12</t>
        </is>
      </c>
      <c r="H77" t="n">
        <v>25</v>
      </c>
      <c r="I77" t="n">
        <v>59.83</v>
      </c>
      <c r="J77" t="n">
        <v>-31.83</v>
      </c>
      <c r="K77" t="n">
        <v>15.28</v>
      </c>
      <c r="L77">
        <f>ROUND(SQRT((I77-I72)^2+(J77-J72)^2+(K77-K72)^2),2)</f>
        <v/>
      </c>
      <c r="M77" t="inlineStr">
        <is>
          <t>measured</t>
        </is>
      </c>
    </row>
    <row r="78">
      <c r="A78" t="inlineStr">
        <is>
          <t>40C_10RH_chamber</t>
        </is>
      </c>
      <c r="B78" t="inlineStr">
        <is>
          <t>40 C / 10%RH (chamber arm)</t>
        </is>
      </c>
      <c r="C78" t="inlineStr">
        <is>
          <t>measured</t>
        </is>
      </c>
      <c r="D78" t="inlineStr">
        <is>
          <t>Malachite</t>
        </is>
      </c>
      <c r="E78" t="inlineStr">
        <is>
          <t>pedestal</t>
        </is>
      </c>
      <c r="F78" t="inlineStr">
        <is>
          <t>HG.1</t>
        </is>
      </c>
      <c r="G78" t="inlineStr">
        <is>
          <t>5.14</t>
        </is>
      </c>
      <c r="H78" t="n">
        <v>27</v>
      </c>
      <c r="I78" t="n">
        <v>60.48</v>
      </c>
      <c r="J78" t="n">
        <v>-31.48</v>
      </c>
      <c r="K78" t="n">
        <v>14.23</v>
      </c>
      <c r="L78">
        <f>ROUND(SQRT((I78-I72)^2+(J78-J72)^2+(K78-K72)^2),2)</f>
        <v/>
      </c>
      <c r="M78" t="inlineStr">
        <is>
          <t>measured</t>
        </is>
      </c>
    </row>
    <row r="79">
      <c r="A79" t="inlineStr">
        <is>
          <t>40C_10RH_chamber</t>
        </is>
      </c>
      <c r="B79" t="inlineStr">
        <is>
          <t>40 C / 10%RH (chamber arm)</t>
        </is>
      </c>
      <c r="C79" t="inlineStr">
        <is>
          <t>measured</t>
        </is>
      </c>
      <c r="D79" t="inlineStr">
        <is>
          <t>Malachite</t>
        </is>
      </c>
      <c r="E79" t="inlineStr">
        <is>
          <t>pedestal</t>
        </is>
      </c>
      <c r="F79" t="inlineStr">
        <is>
          <t>HG.1</t>
        </is>
      </c>
      <c r="G79" t="inlineStr">
        <is>
          <t>5.18</t>
        </is>
      </c>
      <c r="H79" t="n">
        <v>31</v>
      </c>
      <c r="I79" t="n">
        <v>60.62</v>
      </c>
      <c r="J79" t="n">
        <v>-31.41</v>
      </c>
      <c r="K79" t="n">
        <v>15.83</v>
      </c>
      <c r="L79">
        <f>ROUND(SQRT((I79-I72)^2+(J79-J72)^2+(K79-K72)^2),2)</f>
        <v/>
      </c>
      <c r="M79" t="inlineStr">
        <is>
          <t>measured</t>
        </is>
      </c>
    </row>
    <row r="80">
      <c r="A80" t="inlineStr">
        <is>
          <t>40C_10RH_chamber</t>
        </is>
      </c>
      <c r="B80" t="inlineStr">
        <is>
          <t>40 C / 10%RH (chamber arm)</t>
        </is>
      </c>
      <c r="C80" t="inlineStr">
        <is>
          <t>measured</t>
        </is>
      </c>
      <c r="D80" t="inlineStr">
        <is>
          <t>Malachite</t>
        </is>
      </c>
      <c r="E80" t="inlineStr">
        <is>
          <t>pedestal</t>
        </is>
      </c>
      <c r="F80" t="inlineStr">
        <is>
          <t>HG.1</t>
        </is>
      </c>
      <c r="G80" t="inlineStr">
        <is>
          <t>5.21</t>
        </is>
      </c>
      <c r="H80" t="n">
        <v>34</v>
      </c>
      <c r="I80" t="n">
        <v>60.15</v>
      </c>
      <c r="J80" t="n">
        <v>-31.82</v>
      </c>
      <c r="K80" t="n">
        <v>15.24</v>
      </c>
      <c r="L80">
        <f>ROUND(SQRT((I80-I72)^2+(J80-J72)^2+(K80-K72)^2),2)</f>
        <v/>
      </c>
      <c r="M80" t="inlineStr">
        <is>
          <t>measured</t>
        </is>
      </c>
    </row>
    <row r="81">
      <c r="A81" t="inlineStr">
        <is>
          <t>40C_10RH_chamber</t>
        </is>
      </c>
      <c r="B81" t="inlineStr">
        <is>
          <t>40 C / 10%RH (chamber arm)</t>
        </is>
      </c>
      <c r="C81" t="inlineStr">
        <is>
          <t>measured</t>
        </is>
      </c>
      <c r="D81" t="inlineStr">
        <is>
          <t>Malachite</t>
        </is>
      </c>
      <c r="E81" t="inlineStr">
        <is>
          <t>pedestal</t>
        </is>
      </c>
      <c r="F81" t="inlineStr">
        <is>
          <t>HG.1</t>
        </is>
      </c>
      <c r="G81" t="inlineStr">
        <is>
          <t>5.24</t>
        </is>
      </c>
      <c r="H81" t="n">
        <v>37</v>
      </c>
      <c r="I81" t="n">
        <v>60.3</v>
      </c>
      <c r="J81" t="n">
        <v>-31.84</v>
      </c>
      <c r="K81" t="n">
        <v>15.32</v>
      </c>
      <c r="L81">
        <f>ROUND(SQRT((I81-I72)^2+(J81-J72)^2+(K81-K72)^2),2)</f>
        <v/>
      </c>
      <c r="M81" t="inlineStr">
        <is>
          <t>measured</t>
        </is>
      </c>
    </row>
    <row r="82">
      <c r="A82" t="inlineStr">
        <is>
          <t>40C_10RH_chamber</t>
        </is>
      </c>
      <c r="B82" t="inlineStr">
        <is>
          <t>40 C / 10%RH (chamber arm)</t>
        </is>
      </c>
      <c r="C82" t="inlineStr">
        <is>
          <t>measured</t>
        </is>
      </c>
      <c r="D82" t="inlineStr">
        <is>
          <t>Malachite</t>
        </is>
      </c>
      <c r="E82" t="inlineStr">
        <is>
          <t>pedestal</t>
        </is>
      </c>
      <c r="F82" t="inlineStr">
        <is>
          <t>HG.1</t>
        </is>
      </c>
      <c r="G82" t="inlineStr">
        <is>
          <t>5.28</t>
        </is>
      </c>
      <c r="H82" t="n">
        <v>41</v>
      </c>
      <c r="I82" t="n">
        <v>60.05</v>
      </c>
      <c r="J82" t="n">
        <v>-30.39</v>
      </c>
      <c r="K82" t="n">
        <v>14.11</v>
      </c>
      <c r="L82">
        <f>ROUND(SQRT((I82-I72)^2+(J82-J72)^2+(K82-K72)^2),2)</f>
        <v/>
      </c>
      <c r="M82" t="inlineStr">
        <is>
          <t>measured</t>
        </is>
      </c>
    </row>
    <row r="83">
      <c r="A83" t="inlineStr">
        <is>
          <t>40C_10RH_chamber</t>
        </is>
      </c>
      <c r="B83" t="inlineStr">
        <is>
          <t>40 C / 10%RH (chamber arm)</t>
        </is>
      </c>
      <c r="C83" t="inlineStr">
        <is>
          <t>measured</t>
        </is>
      </c>
      <c r="D83" t="inlineStr">
        <is>
          <t>Malachite</t>
        </is>
      </c>
      <c r="E83" t="inlineStr">
        <is>
          <t>pedestal</t>
        </is>
      </c>
      <c r="F83" t="inlineStr">
        <is>
          <t>HG.1</t>
        </is>
      </c>
      <c r="G83" t="inlineStr">
        <is>
          <t>6.09</t>
        </is>
      </c>
      <c r="H83" t="n">
        <v>53</v>
      </c>
      <c r="I83" t="n">
        <v>58.32</v>
      </c>
      <c r="J83" t="n">
        <v>-30.7</v>
      </c>
      <c r="K83" t="n">
        <v>14.55</v>
      </c>
      <c r="L83">
        <f>ROUND(SQRT((I83-I72)^2+(J83-J72)^2+(K83-K72)^2),2)</f>
        <v/>
      </c>
      <c r="M83" t="inlineStr">
        <is>
          <t>measured</t>
        </is>
      </c>
    </row>
    <row r="84">
      <c r="A84" t="inlineStr">
        <is>
          <t>40C_10RH_chamber</t>
        </is>
      </c>
      <c r="B84" t="inlineStr">
        <is>
          <t>40 C / 10%RH (chamber arm)</t>
        </is>
      </c>
      <c r="C84" t="inlineStr">
        <is>
          <t>measured</t>
        </is>
      </c>
      <c r="D84" t="inlineStr">
        <is>
          <t>Malachite</t>
        </is>
      </c>
      <c r="E84" t="inlineStr">
        <is>
          <t>pedestal</t>
        </is>
      </c>
      <c r="F84" t="inlineStr">
        <is>
          <t>HG.1</t>
        </is>
      </c>
      <c r="G84" t="inlineStr">
        <is>
          <t>6.13</t>
        </is>
      </c>
      <c r="H84" t="n">
        <v>57</v>
      </c>
      <c r="I84" t="n">
        <v>59.85</v>
      </c>
      <c r="J84" t="n">
        <v>-31.97</v>
      </c>
      <c r="K84" t="n">
        <v>15.29</v>
      </c>
      <c r="L84">
        <f>ROUND(SQRT((I84-I72)^2+(J84-J72)^2+(K84-K72)^2),2)</f>
        <v/>
      </c>
      <c r="M84" t="inlineStr">
        <is>
          <t>measured</t>
        </is>
      </c>
    </row>
    <row r="85">
      <c r="A85" t="inlineStr">
        <is>
          <t>40C_10RH_chamber</t>
        </is>
      </c>
      <c r="B85" t="inlineStr">
        <is>
          <t>40 C / 10%RH (chamber arm)</t>
        </is>
      </c>
      <c r="C85" t="inlineStr">
        <is>
          <t>measured</t>
        </is>
      </c>
      <c r="D85" t="inlineStr">
        <is>
          <t>Malachite</t>
        </is>
      </c>
      <c r="E85" t="inlineStr">
        <is>
          <t>pedestal</t>
        </is>
      </c>
      <c r="F85" t="inlineStr">
        <is>
          <t>HG.1</t>
        </is>
      </c>
      <c r="G85" t="inlineStr">
        <is>
          <t>6.17</t>
        </is>
      </c>
      <c r="H85" t="n">
        <v>61</v>
      </c>
      <c r="I85" t="n">
        <v>59.74</v>
      </c>
      <c r="J85" t="n">
        <v>-31.07</v>
      </c>
      <c r="K85" t="n">
        <v>14.23</v>
      </c>
      <c r="L85">
        <f>ROUND(SQRT((I85-I72)^2+(J85-J72)^2+(K85-K72)^2),2)</f>
        <v/>
      </c>
      <c r="M85" t="inlineStr">
        <is>
          <t>measured</t>
        </is>
      </c>
    </row>
    <row r="86">
      <c r="A86" t="inlineStr">
        <is>
          <t>40C_10RH_chamber</t>
        </is>
      </c>
      <c r="B86" t="inlineStr">
        <is>
          <t>40 C / 10%RH (chamber arm)</t>
        </is>
      </c>
      <c r="C86" t="inlineStr">
        <is>
          <t>measured</t>
        </is>
      </c>
      <c r="D86" t="inlineStr">
        <is>
          <t>Malachite</t>
        </is>
      </c>
      <c r="E86" t="inlineStr">
        <is>
          <t>pedestal</t>
        </is>
      </c>
      <c r="F86" t="inlineStr">
        <is>
          <t>HG.2</t>
        </is>
      </c>
      <c r="G86" t="inlineStr">
        <is>
          <t>4.17</t>
        </is>
      </c>
      <c r="H86" t="n">
        <v>0</v>
      </c>
      <c r="I86" s="4" t="n">
        <v>59.27</v>
      </c>
      <c r="J86" s="4" t="n">
        <v>-32.38</v>
      </c>
      <c r="K86" s="4" t="n">
        <v>14.74</v>
      </c>
      <c r="L86" t="n">
        <v>0</v>
      </c>
      <c r="M86" t="inlineStr">
        <is>
          <t>measured</t>
        </is>
      </c>
    </row>
    <row r="87">
      <c r="A87" t="inlineStr">
        <is>
          <t>40C_10RH_chamber</t>
        </is>
      </c>
      <c r="B87" t="inlineStr">
        <is>
          <t>40 C / 10%RH (chamber arm)</t>
        </is>
      </c>
      <c r="C87" t="inlineStr">
        <is>
          <t>measured</t>
        </is>
      </c>
      <c r="D87" t="inlineStr">
        <is>
          <t>Malachite</t>
        </is>
      </c>
      <c r="E87" t="inlineStr">
        <is>
          <t>pedestal</t>
        </is>
      </c>
      <c r="F87" t="inlineStr">
        <is>
          <t>HG.2</t>
        </is>
      </c>
      <c r="G87" t="inlineStr">
        <is>
          <t>4.20</t>
        </is>
      </c>
      <c r="H87" t="n">
        <v>3</v>
      </c>
      <c r="I87" t="n">
        <v>58.25</v>
      </c>
      <c r="J87" t="n">
        <v>-32.04</v>
      </c>
      <c r="K87" t="n">
        <v>15.83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40C_10RH_chamber</t>
        </is>
      </c>
      <c r="B88" t="inlineStr">
        <is>
          <t>40 C / 10%RH (chamber arm)</t>
        </is>
      </c>
      <c r="C88" t="inlineStr">
        <is>
          <t>measured</t>
        </is>
      </c>
      <c r="D88" t="inlineStr">
        <is>
          <t>Malachite</t>
        </is>
      </c>
      <c r="E88" t="inlineStr">
        <is>
          <t>pedestal</t>
        </is>
      </c>
      <c r="F88" t="inlineStr">
        <is>
          <t>HG.2</t>
        </is>
      </c>
      <c r="G88" t="inlineStr">
        <is>
          <t>4.23</t>
        </is>
      </c>
      <c r="H88" t="n">
        <v>6</v>
      </c>
      <c r="I88" t="n">
        <v>58.76</v>
      </c>
      <c r="J88" t="n">
        <v>-32.64</v>
      </c>
      <c r="K88" t="n">
        <v>15.66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40C_10RH_chamber</t>
        </is>
      </c>
      <c r="B89" t="inlineStr">
        <is>
          <t>40 C / 10%RH (chamber arm)</t>
        </is>
      </c>
      <c r="C89" t="inlineStr">
        <is>
          <t>measured</t>
        </is>
      </c>
      <c r="D89" t="inlineStr">
        <is>
          <t>Malachite</t>
        </is>
      </c>
      <c r="E89" t="inlineStr">
        <is>
          <t>pedestal</t>
        </is>
      </c>
      <c r="F89" t="inlineStr">
        <is>
          <t>HG.2</t>
        </is>
      </c>
      <c r="G89" t="inlineStr">
        <is>
          <t>4.26</t>
        </is>
      </c>
      <c r="H89" t="n">
        <v>9</v>
      </c>
      <c r="I89" t="n">
        <v>58.3</v>
      </c>
      <c r="J89" t="n">
        <v>-32.85</v>
      </c>
      <c r="K89" t="n">
        <v>15.92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40C_10RH_chamber</t>
        </is>
      </c>
      <c r="B90" t="inlineStr">
        <is>
          <t>40 C / 10%RH (chamber arm)</t>
        </is>
      </c>
      <c r="C90" t="inlineStr">
        <is>
          <t>measured</t>
        </is>
      </c>
      <c r="D90" t="inlineStr">
        <is>
          <t>Malachite</t>
        </is>
      </c>
      <c r="E90" t="inlineStr">
        <is>
          <t>pedestal</t>
        </is>
      </c>
      <c r="F90" t="inlineStr">
        <is>
          <t>HG.2</t>
        </is>
      </c>
      <c r="G90" t="inlineStr">
        <is>
          <t>4.29</t>
        </is>
      </c>
      <c r="H90" t="n">
        <v>12</v>
      </c>
      <c r="I90" t="n">
        <v>58.37</v>
      </c>
      <c r="J90" t="n">
        <v>-32.37</v>
      </c>
      <c r="K90" t="n">
        <v>15.19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40C_10RH_chamber</t>
        </is>
      </c>
      <c r="B91" t="inlineStr">
        <is>
          <t>40 C / 10%RH (chamber arm)</t>
        </is>
      </c>
      <c r="C91" t="inlineStr">
        <is>
          <t>measured</t>
        </is>
      </c>
      <c r="D91" t="inlineStr">
        <is>
          <t>Malachite</t>
        </is>
      </c>
      <c r="E91" t="inlineStr">
        <is>
          <t>pedestal</t>
        </is>
      </c>
      <c r="F91" t="inlineStr">
        <is>
          <t>HG.2</t>
        </is>
      </c>
      <c r="G91" t="inlineStr">
        <is>
          <t>5.12</t>
        </is>
      </c>
      <c r="H91" t="n">
        <v>25</v>
      </c>
      <c r="I91" t="n">
        <v>58.76</v>
      </c>
      <c r="J91" t="n">
        <v>-32.73</v>
      </c>
      <c r="K91" t="n">
        <v>15.84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40C_10RH_chamber</t>
        </is>
      </c>
      <c r="B92" t="inlineStr">
        <is>
          <t>40 C / 10%RH (chamber arm)</t>
        </is>
      </c>
      <c r="C92" t="inlineStr">
        <is>
          <t>measured</t>
        </is>
      </c>
      <c r="D92" t="inlineStr">
        <is>
          <t>Malachite</t>
        </is>
      </c>
      <c r="E92" t="inlineStr">
        <is>
          <t>pedestal</t>
        </is>
      </c>
      <c r="F92" t="inlineStr">
        <is>
          <t>HG.2</t>
        </is>
      </c>
      <c r="G92" t="inlineStr">
        <is>
          <t>5.14</t>
        </is>
      </c>
      <c r="H92" t="n">
        <v>27</v>
      </c>
      <c r="I92" t="n">
        <v>58.7</v>
      </c>
      <c r="J92" t="n">
        <v>-32.38</v>
      </c>
      <c r="K92" t="n">
        <v>15.45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40C_10RH_chamber</t>
        </is>
      </c>
      <c r="B93" t="inlineStr">
        <is>
          <t>40 C / 10%RH (chamber arm)</t>
        </is>
      </c>
      <c r="C93" t="inlineStr">
        <is>
          <t>measured</t>
        </is>
      </c>
      <c r="D93" t="inlineStr">
        <is>
          <t>Malachite</t>
        </is>
      </c>
      <c r="E93" t="inlineStr">
        <is>
          <t>pedestal</t>
        </is>
      </c>
      <c r="F93" t="inlineStr">
        <is>
          <t>HG.2</t>
        </is>
      </c>
      <c r="G93" t="inlineStr">
        <is>
          <t>5.18</t>
        </is>
      </c>
      <c r="H93" t="n">
        <v>31</v>
      </c>
      <c r="I93" t="n">
        <v>58.93</v>
      </c>
      <c r="J93" t="n">
        <v>-31.99</v>
      </c>
      <c r="K93" t="n">
        <v>16.11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40C_10RH_chamber</t>
        </is>
      </c>
      <c r="B94" t="inlineStr">
        <is>
          <t>40 C / 10%RH (chamber arm)</t>
        </is>
      </c>
      <c r="C94" t="inlineStr">
        <is>
          <t>measured</t>
        </is>
      </c>
      <c r="D94" t="inlineStr">
        <is>
          <t>Malachite</t>
        </is>
      </c>
      <c r="E94" t="inlineStr">
        <is>
          <t>pedestal</t>
        </is>
      </c>
      <c r="F94" t="inlineStr">
        <is>
          <t>HG.2</t>
        </is>
      </c>
      <c r="G94" t="inlineStr">
        <is>
          <t>5.21</t>
        </is>
      </c>
      <c r="H94" t="n">
        <v>34</v>
      </c>
      <c r="I94" t="n">
        <v>58.14</v>
      </c>
      <c r="J94" t="n">
        <v>-31.74</v>
      </c>
      <c r="K94" t="n">
        <v>15.76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40C_10RH_chamber</t>
        </is>
      </c>
      <c r="B95" t="inlineStr">
        <is>
          <t>40 C / 10%RH (chamber arm)</t>
        </is>
      </c>
      <c r="C95" t="inlineStr">
        <is>
          <t>measured</t>
        </is>
      </c>
      <c r="D95" t="inlineStr">
        <is>
          <t>Malachite</t>
        </is>
      </c>
      <c r="E95" t="inlineStr">
        <is>
          <t>pedestal</t>
        </is>
      </c>
      <c r="F95" t="inlineStr">
        <is>
          <t>HG.2</t>
        </is>
      </c>
      <c r="G95" t="inlineStr">
        <is>
          <t>5.24</t>
        </is>
      </c>
      <c r="H95" t="n">
        <v>37</v>
      </c>
      <c r="I95" t="n">
        <v>58.74</v>
      </c>
      <c r="J95" t="n">
        <v>-32.52</v>
      </c>
      <c r="K95" t="n">
        <v>15.98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40C_10RH_chamber</t>
        </is>
      </c>
      <c r="B96" t="inlineStr">
        <is>
          <t>40 C / 10%RH (chamber arm)</t>
        </is>
      </c>
      <c r="C96" t="inlineStr">
        <is>
          <t>measured</t>
        </is>
      </c>
      <c r="D96" t="inlineStr">
        <is>
          <t>Malachite</t>
        </is>
      </c>
      <c r="E96" t="inlineStr">
        <is>
          <t>pedestal</t>
        </is>
      </c>
      <c r="F96" t="inlineStr">
        <is>
          <t>HG.2</t>
        </is>
      </c>
      <c r="G96" t="inlineStr">
        <is>
          <t>5.28</t>
        </is>
      </c>
      <c r="H96" t="n">
        <v>41</v>
      </c>
      <c r="I96" t="n">
        <v>58.84</v>
      </c>
      <c r="J96" t="n">
        <v>-31.5</v>
      </c>
      <c r="K96" t="n">
        <v>14.99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40C_10RH_chamber</t>
        </is>
      </c>
      <c r="B97" t="inlineStr">
        <is>
          <t>40 C / 10%RH (chamber arm)</t>
        </is>
      </c>
      <c r="C97" t="inlineStr">
        <is>
          <t>measured</t>
        </is>
      </c>
      <c r="D97" t="inlineStr">
        <is>
          <t>Malachite</t>
        </is>
      </c>
      <c r="E97" t="inlineStr">
        <is>
          <t>pedestal</t>
        </is>
      </c>
      <c r="F97" t="inlineStr">
        <is>
          <t>HG.2</t>
        </is>
      </c>
      <c r="G97" t="inlineStr">
        <is>
          <t>6.09</t>
        </is>
      </c>
      <c r="H97" t="n">
        <v>53</v>
      </c>
      <c r="I97" t="n">
        <v>58.54</v>
      </c>
      <c r="J97" t="n">
        <v>-31.78</v>
      </c>
      <c r="K97" t="n">
        <v>15.21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40C_10RH_chamber</t>
        </is>
      </c>
      <c r="B98" t="inlineStr">
        <is>
          <t>40 C / 10%RH (chamber arm)</t>
        </is>
      </c>
      <c r="C98" t="inlineStr">
        <is>
          <t>measured</t>
        </is>
      </c>
      <c r="D98" t="inlineStr">
        <is>
          <t>Malachite</t>
        </is>
      </c>
      <c r="E98" t="inlineStr">
        <is>
          <t>pedestal</t>
        </is>
      </c>
      <c r="F98" t="inlineStr">
        <is>
          <t>HG.2</t>
        </is>
      </c>
      <c r="G98" t="inlineStr">
        <is>
          <t>6.13</t>
        </is>
      </c>
      <c r="H98" t="n">
        <v>57</v>
      </c>
      <c r="I98" t="n">
        <v>59.4</v>
      </c>
      <c r="J98" t="n">
        <v>-32.41</v>
      </c>
      <c r="K98" t="n">
        <v>15.77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40C_10RH_chamber</t>
        </is>
      </c>
      <c r="B99" t="inlineStr">
        <is>
          <t>40 C / 10%RH (chamber arm)</t>
        </is>
      </c>
      <c r="C99" t="inlineStr">
        <is>
          <t>measured</t>
        </is>
      </c>
      <c r="D99" t="inlineStr">
        <is>
          <t>Malachite</t>
        </is>
      </c>
      <c r="E99" t="inlineStr">
        <is>
          <t>pedestal</t>
        </is>
      </c>
      <c r="F99" t="inlineStr">
        <is>
          <t>HG.2</t>
        </is>
      </c>
      <c r="G99" t="inlineStr">
        <is>
          <t>6.17</t>
        </is>
      </c>
      <c r="H99" t="n">
        <v>61</v>
      </c>
      <c r="I99" t="n">
        <v>58.74</v>
      </c>
      <c r="J99" t="n">
        <v>-32</v>
      </c>
      <c r="K99" t="n">
        <v>15.47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40C_10RH_chamber</t>
        </is>
      </c>
      <c r="B100" t="inlineStr">
        <is>
          <t>40 C / 10%RH (chamber arm)</t>
        </is>
      </c>
      <c r="C100" t="inlineStr">
        <is>
          <t>measured</t>
        </is>
      </c>
      <c r="D100" t="inlineStr">
        <is>
          <t>Malachite</t>
        </is>
      </c>
      <c r="E100" t="inlineStr">
        <is>
          <t>pedestal</t>
        </is>
      </c>
      <c r="F100" t="inlineStr">
        <is>
          <t>HG.3</t>
        </is>
      </c>
      <c r="G100" t="inlineStr">
        <is>
          <t>4.17</t>
        </is>
      </c>
      <c r="H100" t="n">
        <v>0</v>
      </c>
      <c r="I100" s="4" t="n">
        <v>58.98</v>
      </c>
      <c r="J100" s="4" t="n">
        <v>-32.05</v>
      </c>
      <c r="K100" s="4" t="n">
        <v>15.98</v>
      </c>
      <c r="L100" t="n">
        <v>0</v>
      </c>
      <c r="M100" t="inlineStr">
        <is>
          <t>measured</t>
        </is>
      </c>
    </row>
    <row r="101">
      <c r="A101" t="inlineStr">
        <is>
          <t>40C_10RH_chamber</t>
        </is>
      </c>
      <c r="B101" t="inlineStr">
        <is>
          <t>40 C / 10%RH (chamber arm)</t>
        </is>
      </c>
      <c r="C101" t="inlineStr">
        <is>
          <t>measured</t>
        </is>
      </c>
      <c r="D101" t="inlineStr">
        <is>
          <t>Malachite</t>
        </is>
      </c>
      <c r="E101" t="inlineStr">
        <is>
          <t>pedestal</t>
        </is>
      </c>
      <c r="F101" t="inlineStr">
        <is>
          <t>HG.3</t>
        </is>
      </c>
      <c r="G101" t="inlineStr">
        <is>
          <t>4.20</t>
        </is>
      </c>
      <c r="H101" t="n">
        <v>3</v>
      </c>
      <c r="I101" t="n">
        <v>58.11</v>
      </c>
      <c r="J101" t="n">
        <v>-31.67</v>
      </c>
      <c r="K101" t="n">
        <v>14.9</v>
      </c>
      <c r="L101">
        <f>ROUND(SQRT((I101-I100)^2+(J101-J100)^2+(K101-K100)^2),2)</f>
        <v/>
      </c>
      <c r="M101" t="inlineStr">
        <is>
          <t>measured</t>
        </is>
      </c>
    </row>
    <row r="102">
      <c r="A102" t="inlineStr">
        <is>
          <t>40C_10RH_chamber</t>
        </is>
      </c>
      <c r="B102" t="inlineStr">
        <is>
          <t>40 C / 10%RH (chamber arm)</t>
        </is>
      </c>
      <c r="C102" t="inlineStr">
        <is>
          <t>measured</t>
        </is>
      </c>
      <c r="D102" t="inlineStr">
        <is>
          <t>Malachite</t>
        </is>
      </c>
      <c r="E102" t="inlineStr">
        <is>
          <t>pedestal</t>
        </is>
      </c>
      <c r="F102" t="inlineStr">
        <is>
          <t>HG.3</t>
        </is>
      </c>
      <c r="G102" t="inlineStr">
        <is>
          <t>4.23</t>
        </is>
      </c>
      <c r="H102" t="n">
        <v>6</v>
      </c>
      <c r="I102" t="n">
        <v>59.92</v>
      </c>
      <c r="J102" t="n">
        <v>-32.57</v>
      </c>
      <c r="K102" t="n">
        <v>15.65</v>
      </c>
      <c r="L102">
        <f>ROUND(SQRT((I102-I100)^2+(J102-J100)^2+(K102-K100)^2),2)</f>
        <v/>
      </c>
      <c r="M102" t="inlineStr">
        <is>
          <t>measured</t>
        </is>
      </c>
    </row>
    <row r="103">
      <c r="A103" t="inlineStr">
        <is>
          <t>40C_10RH_chamber</t>
        </is>
      </c>
      <c r="B103" t="inlineStr">
        <is>
          <t>40 C / 10%RH (chamber arm)</t>
        </is>
      </c>
      <c r="C103" t="inlineStr">
        <is>
          <t>measured</t>
        </is>
      </c>
      <c r="D103" t="inlineStr">
        <is>
          <t>Malachite</t>
        </is>
      </c>
      <c r="E103" t="inlineStr">
        <is>
          <t>pedestal</t>
        </is>
      </c>
      <c r="F103" t="inlineStr">
        <is>
          <t>HG.3</t>
        </is>
      </c>
      <c r="G103" t="inlineStr">
        <is>
          <t>4.26</t>
        </is>
      </c>
      <c r="H103" t="n">
        <v>9</v>
      </c>
      <c r="I103" t="n">
        <v>58.57</v>
      </c>
      <c r="J103" t="n">
        <v>-31.45</v>
      </c>
      <c r="K103" t="n">
        <v>14.44</v>
      </c>
      <c r="L103">
        <f>ROUND(SQRT((I103-I100)^2+(J103-J100)^2+(K103-K100)^2),2)</f>
        <v/>
      </c>
      <c r="M103" t="inlineStr">
        <is>
          <t>measured</t>
        </is>
      </c>
    </row>
    <row r="104">
      <c r="A104" t="inlineStr">
        <is>
          <t>40C_10RH_chamber</t>
        </is>
      </c>
      <c r="B104" t="inlineStr">
        <is>
          <t>40 C / 10%RH (chamber arm)</t>
        </is>
      </c>
      <c r="C104" t="inlineStr">
        <is>
          <t>measured</t>
        </is>
      </c>
      <c r="D104" t="inlineStr">
        <is>
          <t>Malachite</t>
        </is>
      </c>
      <c r="E104" t="inlineStr">
        <is>
          <t>pedestal</t>
        </is>
      </c>
      <c r="F104" t="inlineStr">
        <is>
          <t>HG.3</t>
        </is>
      </c>
      <c r="G104" t="inlineStr">
        <is>
          <t>4.29</t>
        </is>
      </c>
      <c r="H104" t="n">
        <v>12</v>
      </c>
      <c r="I104" t="n">
        <v>58.24</v>
      </c>
      <c r="J104" t="n">
        <v>-31.96</v>
      </c>
      <c r="K104" t="n">
        <v>14.85</v>
      </c>
      <c r="L104">
        <f>ROUND(SQRT((I104-I100)^2+(J104-J100)^2+(K104-K100)^2),2)</f>
        <v/>
      </c>
      <c r="M104" t="inlineStr">
        <is>
          <t>measured</t>
        </is>
      </c>
    </row>
    <row r="105">
      <c r="A105" t="inlineStr">
        <is>
          <t>40C_10RH_chamber</t>
        </is>
      </c>
      <c r="B105" t="inlineStr">
        <is>
          <t>40 C / 10%RH (chamber arm)</t>
        </is>
      </c>
      <c r="C105" t="inlineStr">
        <is>
          <t>measured</t>
        </is>
      </c>
      <c r="D105" t="inlineStr">
        <is>
          <t>Malachite</t>
        </is>
      </c>
      <c r="E105" t="inlineStr">
        <is>
          <t>pedestal</t>
        </is>
      </c>
      <c r="F105" t="inlineStr">
        <is>
          <t>HG.3</t>
        </is>
      </c>
      <c r="G105" t="inlineStr">
        <is>
          <t>5.12</t>
        </is>
      </c>
      <c r="H105" t="n">
        <v>25</v>
      </c>
      <c r="I105" t="n">
        <v>58.87</v>
      </c>
      <c r="J105" t="n">
        <v>-31.81</v>
      </c>
      <c r="K105" t="n">
        <v>14.41</v>
      </c>
      <c r="L105">
        <f>ROUND(SQRT((I105-I100)^2+(J105-J100)^2+(K105-K100)^2),2)</f>
        <v/>
      </c>
      <c r="M105" t="inlineStr">
        <is>
          <t>measured</t>
        </is>
      </c>
    </row>
    <row r="106">
      <c r="A106" t="inlineStr">
        <is>
          <t>40C_10RH_chamber</t>
        </is>
      </c>
      <c r="B106" t="inlineStr">
        <is>
          <t>40 C / 10%RH (chamber arm)</t>
        </is>
      </c>
      <c r="C106" t="inlineStr">
        <is>
          <t>measured</t>
        </is>
      </c>
      <c r="D106" t="inlineStr">
        <is>
          <t>Malachite</t>
        </is>
      </c>
      <c r="E106" t="inlineStr">
        <is>
          <t>pedestal</t>
        </is>
      </c>
      <c r="F106" t="inlineStr">
        <is>
          <t>HG.3</t>
        </is>
      </c>
      <c r="G106" t="inlineStr">
        <is>
          <t>5.14</t>
        </is>
      </c>
      <c r="H106" t="n">
        <v>27</v>
      </c>
      <c r="I106" t="n">
        <v>58.6</v>
      </c>
      <c r="J106" t="n">
        <v>-31.26</v>
      </c>
      <c r="K106" t="n">
        <v>14.88</v>
      </c>
      <c r="L106">
        <f>ROUND(SQRT((I106-I100)^2+(J106-J100)^2+(K106-K100)^2),2)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Malachite</t>
        </is>
      </c>
      <c r="E107" t="inlineStr">
        <is>
          <t>pedestal</t>
        </is>
      </c>
      <c r="F107" t="inlineStr">
        <is>
          <t>HG.3</t>
        </is>
      </c>
      <c r="G107" t="inlineStr">
        <is>
          <t>5.18</t>
        </is>
      </c>
      <c r="H107" t="n">
        <v>31</v>
      </c>
      <c r="I107" t="n">
        <v>59.82</v>
      </c>
      <c r="J107" t="n">
        <v>-30.49</v>
      </c>
      <c r="K107" t="n">
        <v>15.43</v>
      </c>
      <c r="L107">
        <f>ROUND(SQRT((I107-I100)^2+(J107-J100)^2+(K107-K100)^2),2)</f>
        <v/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Malachite</t>
        </is>
      </c>
      <c r="E108" t="inlineStr">
        <is>
          <t>pedestal</t>
        </is>
      </c>
      <c r="F108" t="inlineStr">
        <is>
          <t>HG.3</t>
        </is>
      </c>
      <c r="G108" t="inlineStr">
        <is>
          <t>5.21</t>
        </is>
      </c>
      <c r="H108" t="n">
        <v>34</v>
      </c>
      <c r="I108" t="n">
        <v>59.23</v>
      </c>
      <c r="J108" t="n">
        <v>-31.81</v>
      </c>
      <c r="K108" t="n">
        <v>14.02</v>
      </c>
      <c r="L108">
        <f>ROUND(SQRT((I108-I100)^2+(J108-J100)^2+(K108-K100)^2),2)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Malachite</t>
        </is>
      </c>
      <c r="E109" t="inlineStr">
        <is>
          <t>pedestal</t>
        </is>
      </c>
      <c r="F109" t="inlineStr">
        <is>
          <t>HG.3</t>
        </is>
      </c>
      <c r="G109" t="inlineStr">
        <is>
          <t>5.24</t>
        </is>
      </c>
      <c r="H109" t="n">
        <v>37</v>
      </c>
      <c r="I109" t="n">
        <v>59.18</v>
      </c>
      <c r="J109" t="n">
        <v>-32.07</v>
      </c>
      <c r="K109" t="n">
        <v>15.38</v>
      </c>
      <c r="L109">
        <f>ROUND(SQRT((I109-I100)^2+(J109-J100)^2+(K109-K100)^2),2)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Malachite</t>
        </is>
      </c>
      <c r="E110" t="inlineStr">
        <is>
          <t>pedestal</t>
        </is>
      </c>
      <c r="F110" t="inlineStr">
        <is>
          <t>HG.3</t>
        </is>
      </c>
      <c r="G110" t="inlineStr">
        <is>
          <t>5.28</t>
        </is>
      </c>
      <c r="H110" t="n">
        <v>41</v>
      </c>
      <c r="I110" t="n">
        <v>59.26</v>
      </c>
      <c r="J110" t="n">
        <v>-32.18</v>
      </c>
      <c r="K110" t="n">
        <v>15.63</v>
      </c>
      <c r="L110">
        <f>ROUND(SQRT((I110-I100)^2+(J110-J100)^2+(K110-K100)^2),2)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Malachite</t>
        </is>
      </c>
      <c r="E111" t="inlineStr">
        <is>
          <t>pedestal</t>
        </is>
      </c>
      <c r="F111" t="inlineStr">
        <is>
          <t>HG.3</t>
        </is>
      </c>
      <c r="G111" t="inlineStr">
        <is>
          <t>6.09</t>
        </is>
      </c>
      <c r="H111" t="n">
        <v>53</v>
      </c>
      <c r="I111" t="n">
        <v>59.5</v>
      </c>
      <c r="J111" t="n">
        <v>-31.76</v>
      </c>
      <c r="K111" t="n">
        <v>14.99</v>
      </c>
      <c r="L111">
        <f>ROUND(SQRT((I111-I100)^2+(J111-J100)^2+(K111-K100)^2),2)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Malachite</t>
        </is>
      </c>
      <c r="E112" t="inlineStr">
        <is>
          <t>pedestal</t>
        </is>
      </c>
      <c r="F112" t="inlineStr">
        <is>
          <t>HG.3</t>
        </is>
      </c>
      <c r="G112" t="inlineStr">
        <is>
          <t>6.13</t>
        </is>
      </c>
      <c r="H112" t="n">
        <v>57</v>
      </c>
      <c r="I112" t="n">
        <v>59.21</v>
      </c>
      <c r="J112" t="n">
        <v>-31.81</v>
      </c>
      <c r="K112" t="n">
        <v>14.22</v>
      </c>
      <c r="L112">
        <f>ROUND(SQRT((I112-I100)^2+(J112-J100)^2+(K112-K100)^2),2)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Malachite</t>
        </is>
      </c>
      <c r="E113" t="inlineStr">
        <is>
          <t>pedestal</t>
        </is>
      </c>
      <c r="F113" t="inlineStr">
        <is>
          <t>HG.3</t>
        </is>
      </c>
      <c r="G113" t="inlineStr">
        <is>
          <t>6.17</t>
        </is>
      </c>
      <c r="H113" t="n">
        <v>61</v>
      </c>
      <c r="I113" t="n">
        <v>59.19</v>
      </c>
      <c r="J113" t="n">
        <v>-31.22</v>
      </c>
      <c r="K113" t="n">
        <v>15.3</v>
      </c>
      <c r="L113">
        <f>ROUND(SQRT((I113-I100)^2+(J113-J100)^2+(K113-K100)^2),2)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Malachite</t>
        </is>
      </c>
      <c r="E114" t="inlineStr">
        <is>
          <t>block</t>
        </is>
      </c>
      <c r="F114" t="inlineStr">
        <is>
          <t>HTG.1</t>
        </is>
      </c>
      <c r="G114" t="inlineStr">
        <is>
          <t>4.17</t>
        </is>
      </c>
      <c r="H114" t="n">
        <v>0</v>
      </c>
      <c r="I114" s="4" t="n">
        <v>59.81</v>
      </c>
      <c r="J114" s="4" t="n">
        <v>-32.16</v>
      </c>
      <c r="K114" s="4" t="n">
        <v>15.73</v>
      </c>
      <c r="L114" t="n">
        <v>0</v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Malachite</t>
        </is>
      </c>
      <c r="E115" t="inlineStr">
        <is>
          <t>block</t>
        </is>
      </c>
      <c r="F115" t="inlineStr">
        <is>
          <t>HTG.1</t>
        </is>
      </c>
      <c r="G115" t="inlineStr">
        <is>
          <t>4.20</t>
        </is>
      </c>
      <c r="H115" t="n">
        <v>3</v>
      </c>
      <c r="I115" t="n">
        <v>60.8</v>
      </c>
      <c r="J115" t="n">
        <v>-31.43</v>
      </c>
      <c r="K115" t="n">
        <v>15.56</v>
      </c>
      <c r="L115">
        <f>ROUND(SQRT((I115-I114)^2+(J115-J114)^2+(K115-K114)^2),2)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Malachite</t>
        </is>
      </c>
      <c r="E116" t="inlineStr">
        <is>
          <t>block</t>
        </is>
      </c>
      <c r="F116" t="inlineStr">
        <is>
          <t>HTG.1</t>
        </is>
      </c>
      <c r="G116" t="inlineStr">
        <is>
          <t>4.23</t>
        </is>
      </c>
      <c r="H116" t="n">
        <v>6</v>
      </c>
      <c r="I116" t="n">
        <v>60.05</v>
      </c>
      <c r="J116" t="n">
        <v>-31.52</v>
      </c>
      <c r="K116" t="n">
        <v>15.07</v>
      </c>
      <c r="L116">
        <f>ROUND(SQRT((I116-I114)^2+(J116-J114)^2+(K116-K114)^2),2)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Malachite</t>
        </is>
      </c>
      <c r="E117" t="inlineStr">
        <is>
          <t>block</t>
        </is>
      </c>
      <c r="F117" t="inlineStr">
        <is>
          <t>HTG.1</t>
        </is>
      </c>
      <c r="G117" t="inlineStr">
        <is>
          <t>4.26</t>
        </is>
      </c>
      <c r="H117" t="n">
        <v>9</v>
      </c>
      <c r="I117" t="n">
        <v>60.63</v>
      </c>
      <c r="J117" t="n">
        <v>-31.31</v>
      </c>
      <c r="K117" t="n">
        <v>15.42</v>
      </c>
      <c r="L117">
        <f>ROUND(SQRT((I117-I114)^2+(J117-J114)^2+(K117-K114)^2),2)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Malachite</t>
        </is>
      </c>
      <c r="E118" t="inlineStr">
        <is>
          <t>block</t>
        </is>
      </c>
      <c r="F118" t="inlineStr">
        <is>
          <t>HTG.1</t>
        </is>
      </c>
      <c r="G118" t="inlineStr">
        <is>
          <t>4.29</t>
        </is>
      </c>
      <c r="H118" t="n">
        <v>12</v>
      </c>
      <c r="I118" t="n">
        <v>59.57</v>
      </c>
      <c r="J118" t="n">
        <v>-31.24</v>
      </c>
      <c r="K118" t="n">
        <v>15</v>
      </c>
      <c r="L118">
        <f>ROUND(SQRT((I118-I114)^2+(J118-J114)^2+(K118-K114)^2),2)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Malachite</t>
        </is>
      </c>
      <c r="E119" t="inlineStr">
        <is>
          <t>block</t>
        </is>
      </c>
      <c r="F119" t="inlineStr">
        <is>
          <t>HTG.1</t>
        </is>
      </c>
      <c r="G119" t="inlineStr">
        <is>
          <t>5.12</t>
        </is>
      </c>
      <c r="H119" t="n">
        <v>25</v>
      </c>
      <c r="I119" t="n">
        <v>59.32</v>
      </c>
      <c r="J119" t="n">
        <v>-31.38</v>
      </c>
      <c r="K119" t="n">
        <v>14.55</v>
      </c>
      <c r="L119">
        <f>ROUND(SQRT((I119-I114)^2+(J119-J114)^2+(K119-K114)^2),2)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Malachite</t>
        </is>
      </c>
      <c r="E120" t="inlineStr">
        <is>
          <t>block</t>
        </is>
      </c>
      <c r="F120" t="inlineStr">
        <is>
          <t>HTG.1</t>
        </is>
      </c>
      <c r="G120" t="inlineStr">
        <is>
          <t>5.14</t>
        </is>
      </c>
      <c r="H120" t="n">
        <v>27</v>
      </c>
      <c r="I120" t="n">
        <v>59.64</v>
      </c>
      <c r="J120" t="n">
        <v>-30.32</v>
      </c>
      <c r="K120" t="n">
        <v>14.73</v>
      </c>
      <c r="L120">
        <f>ROUND(SQRT((I120-I114)^2+(J120-J114)^2+(K120-K114)^2),2)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Malachite</t>
        </is>
      </c>
      <c r="E121" t="inlineStr">
        <is>
          <t>block</t>
        </is>
      </c>
      <c r="F121" t="inlineStr">
        <is>
          <t>HTG.1</t>
        </is>
      </c>
      <c r="G121" t="inlineStr">
        <is>
          <t>5.18</t>
        </is>
      </c>
      <c r="H121" t="n">
        <v>31</v>
      </c>
      <c r="I121" t="n">
        <v>59.22</v>
      </c>
      <c r="J121" t="n">
        <v>-30.63</v>
      </c>
      <c r="K121" t="n">
        <v>14.25</v>
      </c>
      <c r="L121">
        <f>ROUND(SQRT((I121-I114)^2+(J121-J114)^2+(K121-K114)^2),2)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Malachite</t>
        </is>
      </c>
      <c r="E122" t="inlineStr">
        <is>
          <t>block</t>
        </is>
      </c>
      <c r="F122" t="inlineStr">
        <is>
          <t>HTG.1</t>
        </is>
      </c>
      <c r="G122" t="inlineStr">
        <is>
          <t>5.21</t>
        </is>
      </c>
      <c r="H122" t="n">
        <v>34</v>
      </c>
      <c r="I122" t="n">
        <v>59.63</v>
      </c>
      <c r="J122" t="n">
        <v>-30.57</v>
      </c>
      <c r="K122" t="n">
        <v>14.12</v>
      </c>
      <c r="L122">
        <f>ROUND(SQRT((I122-I114)^2+(J122-J114)^2+(K122-K114)^2),2)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Malachite</t>
        </is>
      </c>
      <c r="E123" t="inlineStr">
        <is>
          <t>block</t>
        </is>
      </c>
      <c r="F123" t="inlineStr">
        <is>
          <t>HTG.1</t>
        </is>
      </c>
      <c r="G123" t="inlineStr">
        <is>
          <t>5.24</t>
        </is>
      </c>
      <c r="H123" t="n">
        <v>37</v>
      </c>
      <c r="I123" t="n">
        <v>59.5</v>
      </c>
      <c r="J123" t="n">
        <v>-30.27</v>
      </c>
      <c r="K123" t="n">
        <v>14.39</v>
      </c>
      <c r="L123">
        <f>ROUND(SQRT((I123-I114)^2+(J123-J114)^2+(K123-K114)^2),2)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Malachite</t>
        </is>
      </c>
      <c r="E124" t="inlineStr">
        <is>
          <t>block</t>
        </is>
      </c>
      <c r="F124" t="inlineStr">
        <is>
          <t>HTG.1</t>
        </is>
      </c>
      <c r="G124" t="inlineStr">
        <is>
          <t>5.28</t>
        </is>
      </c>
      <c r="H124" t="n">
        <v>41</v>
      </c>
      <c r="I124" t="n">
        <v>59.76</v>
      </c>
      <c r="J124" t="n">
        <v>-30.53</v>
      </c>
      <c r="K124" t="n">
        <v>14.27</v>
      </c>
      <c r="L124">
        <f>ROUND(SQRT((I124-I114)^2+(J124-J114)^2+(K124-K114)^2),2)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Malachite</t>
        </is>
      </c>
      <c r="E125" t="inlineStr">
        <is>
          <t>block</t>
        </is>
      </c>
      <c r="F125" t="inlineStr">
        <is>
          <t>HTG.1</t>
        </is>
      </c>
      <c r="G125" t="inlineStr">
        <is>
          <t>6.09</t>
        </is>
      </c>
      <c r="H125" t="n">
        <v>53</v>
      </c>
      <c r="I125" t="n">
        <v>59.12</v>
      </c>
      <c r="J125" t="n">
        <v>-30.71</v>
      </c>
      <c r="K125" t="n">
        <v>14.64</v>
      </c>
      <c r="L125">
        <f>ROUND(SQRT((I125-I114)^2+(J125-J114)^2+(K125-K114)^2),2)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Malachite</t>
        </is>
      </c>
      <c r="E126" t="inlineStr">
        <is>
          <t>block</t>
        </is>
      </c>
      <c r="F126" t="inlineStr">
        <is>
          <t>HTG.1</t>
        </is>
      </c>
      <c r="G126" t="inlineStr">
        <is>
          <t>6.13</t>
        </is>
      </c>
      <c r="H126" t="n">
        <v>57</v>
      </c>
      <c r="I126" t="n">
        <v>59.51</v>
      </c>
      <c r="J126" t="n">
        <v>-30.83</v>
      </c>
      <c r="K126" t="n">
        <v>14.9</v>
      </c>
      <c r="L126">
        <f>ROUND(SQRT((I126-I114)^2+(J126-J114)^2+(K126-K114)^2),2)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Malachite</t>
        </is>
      </c>
      <c r="E127" t="inlineStr">
        <is>
          <t>block</t>
        </is>
      </c>
      <c r="F127" t="inlineStr">
        <is>
          <t>HTG.1</t>
        </is>
      </c>
      <c r="G127" t="inlineStr">
        <is>
          <t>6.17</t>
        </is>
      </c>
      <c r="H127" t="n">
        <v>61</v>
      </c>
      <c r="I127" t="n">
        <v>59.12</v>
      </c>
      <c r="J127" t="n">
        <v>-30.77</v>
      </c>
      <c r="K127" t="n">
        <v>14.53</v>
      </c>
      <c r="L127">
        <f>ROUND(SQRT((I127-I114)^2+(J127-J114)^2+(K127-K114)^2),2)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Malachite</t>
        </is>
      </c>
      <c r="E128" t="inlineStr">
        <is>
          <t>block</t>
        </is>
      </c>
      <c r="F128" t="inlineStr">
        <is>
          <t>HTG.2</t>
        </is>
      </c>
      <c r="G128" t="inlineStr">
        <is>
          <t>4.17</t>
        </is>
      </c>
      <c r="H128" t="n">
        <v>0</v>
      </c>
      <c r="I128" s="4" t="n">
        <v>62.84</v>
      </c>
      <c r="J128" s="4" t="n">
        <v>-30.47</v>
      </c>
      <c r="K128" s="4" t="n">
        <v>13.9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Malachite</t>
        </is>
      </c>
      <c r="E129" t="inlineStr">
        <is>
          <t>block</t>
        </is>
      </c>
      <c r="F129" t="inlineStr">
        <is>
          <t>HTG.2</t>
        </is>
      </c>
      <c r="G129" t="inlineStr">
        <is>
          <t>4.20</t>
        </is>
      </c>
      <c r="H129" t="n">
        <v>3</v>
      </c>
      <c r="I129" t="n">
        <v>62.76</v>
      </c>
      <c r="J129" t="n">
        <v>-30.72</v>
      </c>
      <c r="K129" t="n">
        <v>14.06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Malachite</t>
        </is>
      </c>
      <c r="E130" t="inlineStr">
        <is>
          <t>block</t>
        </is>
      </c>
      <c r="F130" t="inlineStr">
        <is>
          <t>HTG.2</t>
        </is>
      </c>
      <c r="G130" t="inlineStr">
        <is>
          <t>4.23</t>
        </is>
      </c>
      <c r="H130" t="n">
        <v>6</v>
      </c>
      <c r="I130" t="n">
        <v>62.73</v>
      </c>
      <c r="J130" t="n">
        <v>-29.99</v>
      </c>
      <c r="K130" t="n">
        <v>14.04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Malachite</t>
        </is>
      </c>
      <c r="E131" t="inlineStr">
        <is>
          <t>block</t>
        </is>
      </c>
      <c r="F131" t="inlineStr">
        <is>
          <t>HTG.2</t>
        </is>
      </c>
      <c r="G131" t="inlineStr">
        <is>
          <t>4.26</t>
        </is>
      </c>
      <c r="H131" t="n">
        <v>9</v>
      </c>
      <c r="I131" t="n">
        <v>62.72</v>
      </c>
      <c r="J131" t="n">
        <v>-30.66</v>
      </c>
      <c r="K131" t="n">
        <v>14.27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Malachite</t>
        </is>
      </c>
      <c r="E132" t="inlineStr">
        <is>
          <t>block</t>
        </is>
      </c>
      <c r="F132" t="inlineStr">
        <is>
          <t>HTG.2</t>
        </is>
      </c>
      <c r="G132" t="inlineStr">
        <is>
          <t>4.29</t>
        </is>
      </c>
      <c r="H132" t="n">
        <v>12</v>
      </c>
      <c r="I132" t="n">
        <v>62.68</v>
      </c>
      <c r="J132" t="n">
        <v>-30.82</v>
      </c>
      <c r="K132" t="n">
        <v>14.29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Malachite</t>
        </is>
      </c>
      <c r="E133" t="inlineStr">
        <is>
          <t>block</t>
        </is>
      </c>
      <c r="F133" t="inlineStr">
        <is>
          <t>HTG.2</t>
        </is>
      </c>
      <c r="G133" t="inlineStr">
        <is>
          <t>5.12</t>
        </is>
      </c>
      <c r="H133" t="n">
        <v>25</v>
      </c>
      <c r="I133" t="n">
        <v>62.93</v>
      </c>
      <c r="J133" t="n">
        <v>-30.29</v>
      </c>
      <c r="K133" t="n">
        <v>13.87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Malachite</t>
        </is>
      </c>
      <c r="E134" t="inlineStr">
        <is>
          <t>block</t>
        </is>
      </c>
      <c r="F134" t="inlineStr">
        <is>
          <t>HTG.2</t>
        </is>
      </c>
      <c r="G134" t="inlineStr">
        <is>
          <t>5.14</t>
        </is>
      </c>
      <c r="H134" t="n">
        <v>27</v>
      </c>
      <c r="I134" t="n">
        <v>62.93</v>
      </c>
      <c r="J134" t="n">
        <v>-30.6</v>
      </c>
      <c r="K134" t="n">
        <v>14.83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Malachite</t>
        </is>
      </c>
      <c r="E135" t="inlineStr">
        <is>
          <t>block</t>
        </is>
      </c>
      <c r="F135" t="inlineStr">
        <is>
          <t>HTG.2</t>
        </is>
      </c>
      <c r="G135" t="inlineStr">
        <is>
          <t>5.18</t>
        </is>
      </c>
      <c r="H135" t="n">
        <v>31</v>
      </c>
      <c r="I135" t="n">
        <v>62.83</v>
      </c>
      <c r="J135" t="n">
        <v>-30.42</v>
      </c>
      <c r="K135" t="n">
        <v>14.01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Malachite</t>
        </is>
      </c>
      <c r="E136" t="inlineStr">
        <is>
          <t>block</t>
        </is>
      </c>
      <c r="F136" t="inlineStr">
        <is>
          <t>HTG.2</t>
        </is>
      </c>
      <c r="G136" t="inlineStr">
        <is>
          <t>5.21</t>
        </is>
      </c>
      <c r="H136" t="n">
        <v>34</v>
      </c>
      <c r="I136" t="n">
        <v>63.03</v>
      </c>
      <c r="J136" t="n">
        <v>-30.3</v>
      </c>
      <c r="K136" t="n">
        <v>13.78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Malachite</t>
        </is>
      </c>
      <c r="E137" t="inlineStr">
        <is>
          <t>block</t>
        </is>
      </c>
      <c r="F137" t="inlineStr">
        <is>
          <t>HTG.2</t>
        </is>
      </c>
      <c r="G137" t="inlineStr">
        <is>
          <t>5.24</t>
        </is>
      </c>
      <c r="H137" t="n">
        <v>37</v>
      </c>
      <c r="I137" t="n">
        <v>62.81</v>
      </c>
      <c r="J137" t="n">
        <v>-30.71</v>
      </c>
      <c r="K137" t="n">
        <v>14.11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Malachite</t>
        </is>
      </c>
      <c r="E138" t="inlineStr">
        <is>
          <t>block</t>
        </is>
      </c>
      <c r="F138" t="inlineStr">
        <is>
          <t>HTG.2</t>
        </is>
      </c>
      <c r="G138" t="inlineStr">
        <is>
          <t>5.28</t>
        </is>
      </c>
      <c r="H138" t="n">
        <v>41</v>
      </c>
      <c r="I138" t="n">
        <v>62.78</v>
      </c>
      <c r="J138" t="n">
        <v>-30.46</v>
      </c>
      <c r="K138" t="n">
        <v>14.13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Malachite</t>
        </is>
      </c>
      <c r="E139" t="inlineStr">
        <is>
          <t>block</t>
        </is>
      </c>
      <c r="F139" t="inlineStr">
        <is>
          <t>HTG.2</t>
        </is>
      </c>
      <c r="G139" t="inlineStr">
        <is>
          <t>6.09</t>
        </is>
      </c>
      <c r="H139" t="n">
        <v>53</v>
      </c>
      <c r="I139" t="n">
        <v>63.13</v>
      </c>
      <c r="J139" t="n">
        <v>-30.23</v>
      </c>
      <c r="K139" t="n">
        <v>13.92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Malachite</t>
        </is>
      </c>
      <c r="E140" t="inlineStr">
        <is>
          <t>block</t>
        </is>
      </c>
      <c r="F140" t="inlineStr">
        <is>
          <t>HTG.2</t>
        </is>
      </c>
      <c r="G140" t="inlineStr">
        <is>
          <t>6.13</t>
        </is>
      </c>
      <c r="H140" t="n">
        <v>57</v>
      </c>
      <c r="I140" t="n">
        <v>62.49</v>
      </c>
      <c r="J140" t="n">
        <v>-29.89</v>
      </c>
      <c r="K140" t="n">
        <v>13.83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Malachite</t>
        </is>
      </c>
      <c r="E141" t="inlineStr">
        <is>
          <t>block</t>
        </is>
      </c>
      <c r="F141" t="inlineStr">
        <is>
          <t>HTG.2</t>
        </is>
      </c>
      <c r="G141" t="inlineStr">
        <is>
          <t>6.17</t>
        </is>
      </c>
      <c r="H141" t="n">
        <v>61</v>
      </c>
      <c r="I141" t="n">
        <v>63.33</v>
      </c>
      <c r="J141" t="n">
        <v>-30.37</v>
      </c>
      <c r="K141" t="n">
        <v>14.12</v>
      </c>
      <c r="L141">
        <f>ROUND(SQRT((I141-I128)^2+(J141-J128)^2+(K141-K128)^2),2)</f>
        <v/>
      </c>
      <c r="M141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tabSelected="1" workbookViewId="0">
      <pane ySplit="1" topLeftCell="A119" activePane="bottomLeft" state="frozen"/>
      <selection pane="bottomLeft" activeCell="J126" sqref="J126"/>
    </sheetView>
  </sheetViews>
  <sheetFormatPr baseColWidth="8" defaultRowHeight="14.4"/>
  <cols>
    <col width="22" customWidth="1" min="1" max="1"/>
    <col width="30" customWidth="1" min="2" max="2"/>
    <col width="12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11"/>
    <col width="9" customWidth="1" min="12" max="12"/>
    <col width="12" customWidth="1" min="13" max="13"/>
  </cols>
  <sheetData>
    <row r="1">
      <c r="A1" s="3" t="inlineStr">
        <is>
          <t>arm_code</t>
        </is>
      </c>
      <c r="B1" s="3" t="inlineStr">
        <is>
          <t>condition</t>
        </is>
      </c>
      <c r="C1" s="3" t="inlineStr">
        <is>
          <t>status</t>
        </is>
      </c>
      <c r="D1" s="3" t="inlineStr">
        <is>
          <t>pigment</t>
        </is>
      </c>
      <c r="E1" s="3" t="inlineStr">
        <is>
          <t>geometry</t>
        </is>
      </c>
      <c r="F1" s="3" t="inlineStr">
        <is>
          <t>spot</t>
        </is>
      </c>
      <c r="G1" s="3" t="inlineStr">
        <is>
          <t>date</t>
        </is>
      </c>
      <c r="H1" s="3" t="inlineStr">
        <is>
          <t>day</t>
        </is>
      </c>
      <c r="I1" s="3" t="inlineStr">
        <is>
          <t>L*</t>
        </is>
      </c>
      <c r="J1" s="3" t="inlineStr">
        <is>
          <t>a*</t>
        </is>
      </c>
      <c r="K1" s="3" t="inlineStr">
        <is>
          <t>b*</t>
        </is>
      </c>
      <c r="L1" s="3" t="inlineStr">
        <is>
          <t>deltaE</t>
        </is>
      </c>
      <c r="M1" s="3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Azurite</t>
        </is>
      </c>
      <c r="E2" t="inlineStr">
        <is>
          <t>pedestal</t>
        </is>
      </c>
      <c r="F2" t="inlineStr">
        <is>
          <t>NB.1</t>
        </is>
      </c>
      <c r="G2" t="inlineStr">
        <is>
          <t>4.17</t>
        </is>
      </c>
      <c r="H2" t="n">
        <v>0</v>
      </c>
      <c r="I2" s="4" t="n">
        <v>40.55</v>
      </c>
      <c r="J2" s="4" t="n">
        <v>-5.53</v>
      </c>
      <c r="K2" s="4" t="n">
        <v>-29.13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Azurite</t>
        </is>
      </c>
      <c r="E3" t="inlineStr">
        <is>
          <t>pedestal</t>
        </is>
      </c>
      <c r="F3" t="inlineStr">
        <is>
          <t>NB.1</t>
        </is>
      </c>
      <c r="G3" t="inlineStr">
        <is>
          <t>4.20</t>
        </is>
      </c>
      <c r="H3" t="n">
        <v>3</v>
      </c>
      <c r="I3" t="n">
        <v>41.02</v>
      </c>
      <c r="J3" t="n">
        <v>-4.97</v>
      </c>
      <c r="K3" t="n">
        <v>-29.97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Azurite</t>
        </is>
      </c>
      <c r="E4" t="inlineStr">
        <is>
          <t>pedestal</t>
        </is>
      </c>
      <c r="F4" t="inlineStr">
        <is>
          <t>NB.1</t>
        </is>
      </c>
      <c r="G4" t="inlineStr">
        <is>
          <t>4.23</t>
        </is>
      </c>
      <c r="H4" t="n">
        <v>6</v>
      </c>
      <c r="I4" t="n">
        <v>41.26</v>
      </c>
      <c r="J4" t="n">
        <v>-5.31</v>
      </c>
      <c r="K4" t="n">
        <v>-29.76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Azurite</t>
        </is>
      </c>
      <c r="E5" t="inlineStr">
        <is>
          <t>pedestal</t>
        </is>
      </c>
      <c r="F5" t="inlineStr">
        <is>
          <t>NB.1</t>
        </is>
      </c>
      <c r="G5" t="inlineStr">
        <is>
          <t>4.26</t>
        </is>
      </c>
      <c r="H5" t="n">
        <v>9</v>
      </c>
      <c r="I5" t="n">
        <v>40.38</v>
      </c>
      <c r="J5" t="n">
        <v>-4.27</v>
      </c>
      <c r="K5" t="n">
        <v>-30.56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Azurite</t>
        </is>
      </c>
      <c r="E6" t="inlineStr">
        <is>
          <t>pedestal</t>
        </is>
      </c>
      <c r="F6" t="inlineStr">
        <is>
          <t>NB.1</t>
        </is>
      </c>
      <c r="G6" t="inlineStr">
        <is>
          <t>4.29</t>
        </is>
      </c>
      <c r="H6" t="n">
        <v>12</v>
      </c>
      <c r="I6" t="n">
        <v>40.72</v>
      </c>
      <c r="J6" t="n">
        <v>-4.83</v>
      </c>
      <c r="K6" t="n">
        <v>-29.89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Azurite</t>
        </is>
      </c>
      <c r="E7" t="inlineStr">
        <is>
          <t>pedestal</t>
        </is>
      </c>
      <c r="F7" t="inlineStr">
        <is>
          <t>NB.1</t>
        </is>
      </c>
      <c r="G7" t="inlineStr">
        <is>
          <t>5.12</t>
        </is>
      </c>
      <c r="H7" t="n">
        <v>25</v>
      </c>
      <c r="I7" t="n">
        <v>40.18</v>
      </c>
      <c r="J7" t="n">
        <v>-4.72</v>
      </c>
      <c r="K7" t="n">
        <v>-30.74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Azurite</t>
        </is>
      </c>
      <c r="E8" t="inlineStr">
        <is>
          <t>pedestal</t>
        </is>
      </c>
      <c r="F8" t="inlineStr">
        <is>
          <t>NB.1</t>
        </is>
      </c>
      <c r="G8" t="inlineStr">
        <is>
          <t>5.14</t>
        </is>
      </c>
      <c r="H8" t="n">
        <v>27</v>
      </c>
      <c r="I8" t="n">
        <v>41.07</v>
      </c>
      <c r="J8" t="n">
        <v>-5.57</v>
      </c>
      <c r="K8" t="n">
        <v>-28.74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Azurite</t>
        </is>
      </c>
      <c r="E9" t="inlineStr">
        <is>
          <t>pedestal</t>
        </is>
      </c>
      <c r="F9" t="inlineStr">
        <is>
          <t>NB.1</t>
        </is>
      </c>
      <c r="G9" t="inlineStr">
        <is>
          <t>5.18</t>
        </is>
      </c>
      <c r="H9" t="n">
        <v>31</v>
      </c>
      <c r="I9" t="n">
        <v>41.09</v>
      </c>
      <c r="J9" t="n">
        <v>-4.58</v>
      </c>
      <c r="K9" t="n">
        <v>-30.63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Azurite</t>
        </is>
      </c>
      <c r="E10" t="inlineStr">
        <is>
          <t>pedestal</t>
        </is>
      </c>
      <c r="F10" t="inlineStr">
        <is>
          <t>NB.1</t>
        </is>
      </c>
      <c r="G10" t="inlineStr">
        <is>
          <t>5.21</t>
        </is>
      </c>
      <c r="H10" t="n">
        <v>34</v>
      </c>
      <c r="I10" t="n">
        <v>40.84</v>
      </c>
      <c r="J10" t="n">
        <v>-4.82</v>
      </c>
      <c r="K10" t="n">
        <v>-29.93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Azurite</t>
        </is>
      </c>
      <c r="E11" t="inlineStr">
        <is>
          <t>pedestal</t>
        </is>
      </c>
      <c r="F11" t="inlineStr">
        <is>
          <t>NB.1</t>
        </is>
      </c>
      <c r="G11" t="inlineStr">
        <is>
          <t>5.24</t>
        </is>
      </c>
      <c r="H11" t="n">
        <v>37</v>
      </c>
      <c r="I11" t="n">
        <v>41.46</v>
      </c>
      <c r="J11" t="n">
        <v>-4.46</v>
      </c>
      <c r="K11" t="n">
        <v>-28.72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Azurite</t>
        </is>
      </c>
      <c r="E12" t="inlineStr">
        <is>
          <t>pedestal</t>
        </is>
      </c>
      <c r="F12" t="inlineStr">
        <is>
          <t>NB.1</t>
        </is>
      </c>
      <c r="G12" t="inlineStr">
        <is>
          <t>5.28</t>
        </is>
      </c>
      <c r="H12" t="n">
        <v>41</v>
      </c>
      <c r="I12" t="n">
        <v>40.97</v>
      </c>
      <c r="J12" t="n">
        <v>-5.28</v>
      </c>
      <c r="K12" t="n">
        <v>-29.74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Azurite</t>
        </is>
      </c>
      <c r="E13" t="inlineStr">
        <is>
          <t>pedestal</t>
        </is>
      </c>
      <c r="F13" t="inlineStr">
        <is>
          <t>NB.1</t>
        </is>
      </c>
      <c r="G13" t="inlineStr">
        <is>
          <t>6.09</t>
        </is>
      </c>
      <c r="H13" t="n">
        <v>53</v>
      </c>
      <c r="I13" t="n">
        <v>41.63</v>
      </c>
      <c r="J13" t="n">
        <v>-4.94</v>
      </c>
      <c r="K13" t="n">
        <v>-29.27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Azurite</t>
        </is>
      </c>
      <c r="E14" t="inlineStr">
        <is>
          <t>pedestal</t>
        </is>
      </c>
      <c r="F14" t="inlineStr">
        <is>
          <t>NB.1</t>
        </is>
      </c>
      <c r="G14" t="inlineStr">
        <is>
          <t>6.13</t>
        </is>
      </c>
      <c r="H14" t="n">
        <v>57</v>
      </c>
      <c r="I14" t="n">
        <v>42.29</v>
      </c>
      <c r="J14" t="n">
        <v>-5.69</v>
      </c>
      <c r="K14" t="n">
        <v>-28.24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Azurite</t>
        </is>
      </c>
      <c r="E15" t="inlineStr">
        <is>
          <t>pedestal</t>
        </is>
      </c>
      <c r="F15" t="inlineStr">
        <is>
          <t>NB.1</t>
        </is>
      </c>
      <c r="G15" t="inlineStr">
        <is>
          <t>6.17</t>
        </is>
      </c>
      <c r="H15" t="n">
        <v>61</v>
      </c>
      <c r="I15" t="n">
        <v>42.01</v>
      </c>
      <c r="J15" t="n">
        <v>-5.11</v>
      </c>
      <c r="K15" t="n">
        <v>-29.53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Azurite</t>
        </is>
      </c>
      <c r="E16" t="inlineStr">
        <is>
          <t>pedestal</t>
        </is>
      </c>
      <c r="F16" t="inlineStr">
        <is>
          <t>NB.2</t>
        </is>
      </c>
      <c r="G16" t="inlineStr">
        <is>
          <t>4.17</t>
        </is>
      </c>
      <c r="H16" t="n">
        <v>0</v>
      </c>
      <c r="I16" s="4" t="n">
        <v>38.55</v>
      </c>
      <c r="J16" s="4" t="n">
        <v>-4.49</v>
      </c>
      <c r="K16" s="4" t="n">
        <v>-30.63</v>
      </c>
      <c r="L16" t="n">
        <v>0</v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Azurite</t>
        </is>
      </c>
      <c r="E17" t="inlineStr">
        <is>
          <t>pedestal</t>
        </is>
      </c>
      <c r="F17" t="inlineStr">
        <is>
          <t>NB.2</t>
        </is>
      </c>
      <c r="G17" t="inlineStr">
        <is>
          <t>4.20</t>
        </is>
      </c>
      <c r="H17" t="n">
        <v>3</v>
      </c>
      <c r="I17" t="n">
        <v>38.3</v>
      </c>
      <c r="J17" t="n">
        <v>-4.38</v>
      </c>
      <c r="K17" t="n">
        <v>-31.06</v>
      </c>
      <c r="L17">
        <f>ROUND(SQRT((I17-I16)^2+(J17-J16)^2+(K17-K16)^2),2)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Azurite</t>
        </is>
      </c>
      <c r="E18" t="inlineStr">
        <is>
          <t>pedestal</t>
        </is>
      </c>
      <c r="F18" t="inlineStr">
        <is>
          <t>NB.2</t>
        </is>
      </c>
      <c r="G18" t="inlineStr">
        <is>
          <t>4.23</t>
        </is>
      </c>
      <c r="H18" t="n">
        <v>6</v>
      </c>
      <c r="I18" t="n">
        <v>38.19</v>
      </c>
      <c r="J18" t="n">
        <v>-4.52</v>
      </c>
      <c r="K18" t="n">
        <v>-30.69</v>
      </c>
      <c r="L18">
        <f>ROUND(SQRT((I18-I16)^2+(J18-J16)^2+(K18-K16)^2),2)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Azurite</t>
        </is>
      </c>
      <c r="E19" t="inlineStr">
        <is>
          <t>pedestal</t>
        </is>
      </c>
      <c r="F19" t="inlineStr">
        <is>
          <t>NB.2</t>
        </is>
      </c>
      <c r="G19" t="inlineStr">
        <is>
          <t>4.26</t>
        </is>
      </c>
      <c r="H19" t="n">
        <v>9</v>
      </c>
      <c r="I19" t="n">
        <v>38.19</v>
      </c>
      <c r="J19" t="n">
        <v>-3.79</v>
      </c>
      <c r="K19" t="n">
        <v>-30.69</v>
      </c>
      <c r="L19">
        <f>ROUND(SQRT((I19-I16)^2+(J19-J16)^2+(K19-K16)^2),2)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Azurite</t>
        </is>
      </c>
      <c r="E20" t="inlineStr">
        <is>
          <t>pedestal</t>
        </is>
      </c>
      <c r="F20" t="inlineStr">
        <is>
          <t>NB.2</t>
        </is>
      </c>
      <c r="G20" t="inlineStr">
        <is>
          <t>4.29</t>
        </is>
      </c>
      <c r="H20" t="n">
        <v>12</v>
      </c>
      <c r="I20" t="n">
        <v>38.58</v>
      </c>
      <c r="J20" t="n">
        <v>-4.86</v>
      </c>
      <c r="K20" t="n">
        <v>-30.84</v>
      </c>
      <c r="L20">
        <f>ROUND(SQRT((I20-I16)^2+(J20-J16)^2+(K20-K16)^2),2)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Azurite</t>
        </is>
      </c>
      <c r="E21" t="inlineStr">
        <is>
          <t>pedestal</t>
        </is>
      </c>
      <c r="F21" t="inlineStr">
        <is>
          <t>NB.2</t>
        </is>
      </c>
      <c r="G21" t="inlineStr">
        <is>
          <t>5.12</t>
        </is>
      </c>
      <c r="H21" t="n">
        <v>25</v>
      </c>
      <c r="I21" t="n">
        <v>39.18</v>
      </c>
      <c r="J21" t="n">
        <v>-3.63</v>
      </c>
      <c r="K21" t="n">
        <v>-30.9</v>
      </c>
      <c r="L21">
        <f>ROUND(SQRT((I21-I16)^2+(J21-J16)^2+(K21-K16)^2),2)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Azurite</t>
        </is>
      </c>
      <c r="E22" t="inlineStr">
        <is>
          <t>pedestal</t>
        </is>
      </c>
      <c r="F22" t="inlineStr">
        <is>
          <t>NB.2</t>
        </is>
      </c>
      <c r="G22" t="inlineStr">
        <is>
          <t>5.14</t>
        </is>
      </c>
      <c r="H22" t="n">
        <v>27</v>
      </c>
      <c r="I22" t="n">
        <v>39.77</v>
      </c>
      <c r="J22" t="n">
        <v>-3.94</v>
      </c>
      <c r="K22" t="n">
        <v>-31.78</v>
      </c>
      <c r="L22">
        <f>ROUND(SQRT((I22-I16)^2+(J22-J16)^2+(K22-K16)^2),2)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Azurite</t>
        </is>
      </c>
      <c r="E23" t="inlineStr">
        <is>
          <t>pedestal</t>
        </is>
      </c>
      <c r="F23" t="inlineStr">
        <is>
          <t>NB.2</t>
        </is>
      </c>
      <c r="G23" t="inlineStr">
        <is>
          <t>5.18</t>
        </is>
      </c>
      <c r="H23" t="n">
        <v>31</v>
      </c>
      <c r="I23" t="n">
        <v>38.59</v>
      </c>
      <c r="J23" t="n">
        <v>-4.21</v>
      </c>
      <c r="K23" t="n">
        <v>-31.26</v>
      </c>
      <c r="L23">
        <f>ROUND(SQRT((I23-I16)^2+(J23-J16)^2+(K23-K16)^2),2)</f>
        <v/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Azurite</t>
        </is>
      </c>
      <c r="E24" t="inlineStr">
        <is>
          <t>pedestal</t>
        </is>
      </c>
      <c r="F24" t="inlineStr">
        <is>
          <t>NB.2</t>
        </is>
      </c>
      <c r="G24" t="inlineStr">
        <is>
          <t>5.21</t>
        </is>
      </c>
      <c r="H24" t="n">
        <v>34</v>
      </c>
      <c r="I24" t="n">
        <v>39.46</v>
      </c>
      <c r="J24" t="n">
        <v>-4.07</v>
      </c>
      <c r="K24" t="n">
        <v>-30.61</v>
      </c>
      <c r="L24">
        <f>ROUND(SQRT((I24-I16)^2+(J24-J16)^2+(K24-K16)^2),2)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Azurite</t>
        </is>
      </c>
      <c r="E25" t="inlineStr">
        <is>
          <t>pedestal</t>
        </is>
      </c>
      <c r="F25" t="inlineStr">
        <is>
          <t>NB.2</t>
        </is>
      </c>
      <c r="G25" t="inlineStr">
        <is>
          <t>5.24</t>
        </is>
      </c>
      <c r="H25" t="n">
        <v>37</v>
      </c>
      <c r="I25" t="n">
        <v>39.5</v>
      </c>
      <c r="J25" t="n">
        <v>-4</v>
      </c>
      <c r="K25" t="n">
        <v>-31.46</v>
      </c>
      <c r="L25">
        <f>ROUND(SQRT((I25-I16)^2+(J25-J16)^2+(K25-K16)^2),2)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Azurite</t>
        </is>
      </c>
      <c r="E26" t="inlineStr">
        <is>
          <t>pedestal</t>
        </is>
      </c>
      <c r="F26" t="inlineStr">
        <is>
          <t>NB.2</t>
        </is>
      </c>
      <c r="G26" t="inlineStr">
        <is>
          <t>5.28</t>
        </is>
      </c>
      <c r="H26" t="n">
        <v>41</v>
      </c>
      <c r="I26" t="n">
        <v>39.46</v>
      </c>
      <c r="J26" t="n">
        <v>-3.94</v>
      </c>
      <c r="K26" t="n">
        <v>-31.05</v>
      </c>
      <c r="L26">
        <f>ROUND(SQRT((I26-I16)^2+(J26-J16)^2+(K26-K16)^2),2)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Azurite</t>
        </is>
      </c>
      <c r="E27" t="inlineStr">
        <is>
          <t>pedestal</t>
        </is>
      </c>
      <c r="F27" t="inlineStr">
        <is>
          <t>NB.2</t>
        </is>
      </c>
      <c r="G27" t="inlineStr">
        <is>
          <t>6.09</t>
        </is>
      </c>
      <c r="H27" t="n">
        <v>53</v>
      </c>
      <c r="I27" t="n">
        <v>39.81</v>
      </c>
      <c r="J27" t="n">
        <v>-4.52</v>
      </c>
      <c r="K27" t="n">
        <v>-29.79</v>
      </c>
      <c r="L27">
        <f>ROUND(SQRT((I27-I16)^2+(J27-J16)^2+(K27-K16)^2),2)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Azurite</t>
        </is>
      </c>
      <c r="E28" t="inlineStr">
        <is>
          <t>pedestal</t>
        </is>
      </c>
      <c r="F28" t="inlineStr">
        <is>
          <t>NB.2</t>
        </is>
      </c>
      <c r="G28" t="inlineStr">
        <is>
          <t>6.13</t>
        </is>
      </c>
      <c r="H28" t="n">
        <v>57</v>
      </c>
      <c r="I28" t="n">
        <v>39.91</v>
      </c>
      <c r="J28" t="n">
        <v>-4.26</v>
      </c>
      <c r="K28" t="n">
        <v>-29.65</v>
      </c>
      <c r="L28">
        <f>ROUND(SQRT((I28-I16)^2+(J28-J16)^2+(K28-K16)^2),2)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Azurite</t>
        </is>
      </c>
      <c r="E29" t="inlineStr">
        <is>
          <t>pedestal</t>
        </is>
      </c>
      <c r="F29" t="inlineStr">
        <is>
          <t>NB.2</t>
        </is>
      </c>
      <c r="G29" t="inlineStr">
        <is>
          <t>6.17</t>
        </is>
      </c>
      <c r="H29" t="n">
        <v>61</v>
      </c>
      <c r="I29" t="n">
        <v>39.93</v>
      </c>
      <c r="J29" t="n">
        <v>-5.26</v>
      </c>
      <c r="K29" t="n">
        <v>-29.77</v>
      </c>
      <c r="L29">
        <f>ROUND(SQRT((I29-I16)^2+(J29-J16)^2+(K29-K16)^2),2)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Azurite</t>
        </is>
      </c>
      <c r="E30" t="inlineStr">
        <is>
          <t>pedestal</t>
        </is>
      </c>
      <c r="F30" t="inlineStr">
        <is>
          <t>NB.3</t>
        </is>
      </c>
      <c r="G30" t="inlineStr">
        <is>
          <t>4.17</t>
        </is>
      </c>
      <c r="H30" t="n">
        <v>0</v>
      </c>
      <c r="I30" s="4" t="n">
        <v>41.14</v>
      </c>
      <c r="J30" s="4" t="n">
        <v>-5.7</v>
      </c>
      <c r="K30" s="4" t="n">
        <v>-29.66</v>
      </c>
      <c r="L30" t="n">
        <v>0</v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Azurite</t>
        </is>
      </c>
      <c r="E31" t="inlineStr">
        <is>
          <t>pedestal</t>
        </is>
      </c>
      <c r="F31" t="inlineStr">
        <is>
          <t>NB.3</t>
        </is>
      </c>
      <c r="G31" t="inlineStr">
        <is>
          <t>4.20</t>
        </is>
      </c>
      <c r="H31" t="n">
        <v>3</v>
      </c>
      <c r="I31" t="n">
        <v>40.81</v>
      </c>
      <c r="J31" t="n">
        <v>-3.44</v>
      </c>
      <c r="K31" t="n">
        <v>-29.82</v>
      </c>
      <c r="L31">
        <f>ROUND(SQRT((I31-I30)^2+(J31-J30)^2+(K31-K30)^2),2)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Azurite</t>
        </is>
      </c>
      <c r="E32" t="inlineStr">
        <is>
          <t>pedestal</t>
        </is>
      </c>
      <c r="F32" t="inlineStr">
        <is>
          <t>NB.3</t>
        </is>
      </c>
      <c r="G32" t="inlineStr">
        <is>
          <t>4.23</t>
        </is>
      </c>
      <c r="H32" t="n">
        <v>6</v>
      </c>
      <c r="I32" t="n">
        <v>41.37</v>
      </c>
      <c r="J32" t="n">
        <v>-5.73</v>
      </c>
      <c r="K32" t="n">
        <v>-28.79</v>
      </c>
      <c r="L32">
        <f>ROUND(SQRT((I32-I30)^2+(J32-J30)^2+(K32-K30)^2),2)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Azurite</t>
        </is>
      </c>
      <c r="E33" t="inlineStr">
        <is>
          <t>pedestal</t>
        </is>
      </c>
      <c r="F33" t="inlineStr">
        <is>
          <t>NB.3</t>
        </is>
      </c>
      <c r="G33" t="inlineStr">
        <is>
          <t>4.26</t>
        </is>
      </c>
      <c r="H33" t="n">
        <v>9</v>
      </c>
      <c r="I33" t="n">
        <v>41.45</v>
      </c>
      <c r="J33" t="n">
        <v>-5.95</v>
      </c>
      <c r="K33" t="n">
        <v>-29.6</v>
      </c>
      <c r="L33">
        <f>ROUND(SQRT((I33-I30)^2+(J33-J30)^2+(K33-K30)^2),2)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Azurite</t>
        </is>
      </c>
      <c r="E34" t="inlineStr">
        <is>
          <t>pedestal</t>
        </is>
      </c>
      <c r="F34" t="inlineStr">
        <is>
          <t>NB.3</t>
        </is>
      </c>
      <c r="G34" t="inlineStr">
        <is>
          <t>4.29</t>
        </is>
      </c>
      <c r="H34" t="n">
        <v>12</v>
      </c>
      <c r="I34" t="n">
        <v>40.99</v>
      </c>
      <c r="J34" t="n">
        <v>-5.92</v>
      </c>
      <c r="K34" t="n">
        <v>-30.1</v>
      </c>
      <c r="L34">
        <f>ROUND(SQRT((I34-I30)^2+(J34-J30)^2+(K34-K30)^2),2)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Azurite</t>
        </is>
      </c>
      <c r="E35" t="inlineStr">
        <is>
          <t>pedestal</t>
        </is>
      </c>
      <c r="F35" t="inlineStr">
        <is>
          <t>NB.3</t>
        </is>
      </c>
      <c r="G35" t="inlineStr">
        <is>
          <t>5.12</t>
        </is>
      </c>
      <c r="H35" t="n">
        <v>25</v>
      </c>
      <c r="I35" t="n">
        <v>42.07</v>
      </c>
      <c r="J35" t="n">
        <v>-5.33</v>
      </c>
      <c r="K35" t="n">
        <v>-30.22</v>
      </c>
      <c r="L35">
        <f>ROUND(SQRT((I35-I30)^2+(J35-J30)^2+(K35-K30)^2),2)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Azurite</t>
        </is>
      </c>
      <c r="E36" t="inlineStr">
        <is>
          <t>pedestal</t>
        </is>
      </c>
      <c r="F36" t="inlineStr">
        <is>
          <t>NB.3</t>
        </is>
      </c>
      <c r="G36" t="inlineStr">
        <is>
          <t>5.14</t>
        </is>
      </c>
      <c r="H36" t="n">
        <v>27</v>
      </c>
      <c r="I36" t="n">
        <v>41.96</v>
      </c>
      <c r="J36" t="n">
        <v>-5.88</v>
      </c>
      <c r="K36" t="n">
        <v>-29.63</v>
      </c>
      <c r="L36">
        <f>ROUND(SQRT((I36-I30)^2+(J36-J30)^2+(K36-K30)^2),2)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Azurite</t>
        </is>
      </c>
      <c r="E37" t="inlineStr">
        <is>
          <t>pedestal</t>
        </is>
      </c>
      <c r="F37" t="inlineStr">
        <is>
          <t>NB.3</t>
        </is>
      </c>
      <c r="G37" t="inlineStr">
        <is>
          <t>5.18</t>
        </is>
      </c>
      <c r="H37" t="n">
        <v>31</v>
      </c>
      <c r="I37" t="n">
        <v>41.89</v>
      </c>
      <c r="J37" t="n">
        <v>-5.08</v>
      </c>
      <c r="K37" t="n">
        <v>-29.96</v>
      </c>
      <c r="L37">
        <f>ROUND(SQRT((I37-I30)^2+(J37-J30)^2+(K37-K30)^2),2)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Azurite</t>
        </is>
      </c>
      <c r="E38" t="inlineStr">
        <is>
          <t>pedestal</t>
        </is>
      </c>
      <c r="F38" t="inlineStr">
        <is>
          <t>NB.3</t>
        </is>
      </c>
      <c r="G38" t="inlineStr">
        <is>
          <t>5.21</t>
        </is>
      </c>
      <c r="H38" t="n">
        <v>34</v>
      </c>
      <c r="I38" t="n">
        <v>42.31</v>
      </c>
      <c r="J38" t="n">
        <v>-7.83</v>
      </c>
      <c r="K38" t="n">
        <v>-28.34</v>
      </c>
      <c r="L38">
        <f>ROUND(SQRT((I38-I30)^2+(J38-J30)^2+(K38-K30)^2),2)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Azurite</t>
        </is>
      </c>
      <c r="E39" t="inlineStr">
        <is>
          <t>pedestal</t>
        </is>
      </c>
      <c r="F39" t="inlineStr">
        <is>
          <t>NB.3</t>
        </is>
      </c>
      <c r="G39" t="inlineStr">
        <is>
          <t>5.24</t>
        </is>
      </c>
      <c r="H39" t="n">
        <v>37</v>
      </c>
      <c r="I39" t="n">
        <v>40.34</v>
      </c>
      <c r="J39" t="n">
        <v>-5.11</v>
      </c>
      <c r="K39" t="n">
        <v>-31.41</v>
      </c>
      <c r="L39">
        <f>ROUND(SQRT((I39-I30)^2+(J39-J30)^2+(K39-K30)^2),2)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Azurite</t>
        </is>
      </c>
      <c r="E40" t="inlineStr">
        <is>
          <t>pedestal</t>
        </is>
      </c>
      <c r="F40" t="inlineStr">
        <is>
          <t>NB.3</t>
        </is>
      </c>
      <c r="G40" t="inlineStr">
        <is>
          <t>5.28</t>
        </is>
      </c>
      <c r="H40" t="n">
        <v>41</v>
      </c>
      <c r="I40" t="n">
        <v>39.66</v>
      </c>
      <c r="J40" t="n">
        <v>-5.02</v>
      </c>
      <c r="K40" t="n">
        <v>-31.67</v>
      </c>
      <c r="L40">
        <f>ROUND(SQRT((I40-I30)^2+(J40-J30)^2+(K40-K30)^2),2)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Azurite</t>
        </is>
      </c>
      <c r="E41" t="inlineStr">
        <is>
          <t>pedestal</t>
        </is>
      </c>
      <c r="F41" t="inlineStr">
        <is>
          <t>NB.3</t>
        </is>
      </c>
      <c r="G41" t="inlineStr">
        <is>
          <t>6.09</t>
        </is>
      </c>
      <c r="H41" t="n">
        <v>53</v>
      </c>
      <c r="I41" t="n">
        <v>42.77</v>
      </c>
      <c r="J41" t="n">
        <v>-5.98</v>
      </c>
      <c r="K41" t="n">
        <v>-27.24</v>
      </c>
      <c r="L41">
        <f>ROUND(SQRT((I41-I30)^2+(J41-J30)^2+(K41-K30)^2),2)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Azurite</t>
        </is>
      </c>
      <c r="E42" t="inlineStr">
        <is>
          <t>pedestal</t>
        </is>
      </c>
      <c r="F42" t="inlineStr">
        <is>
          <t>NB.3</t>
        </is>
      </c>
      <c r="G42" t="inlineStr">
        <is>
          <t>6.13</t>
        </is>
      </c>
      <c r="H42" t="n">
        <v>57</v>
      </c>
      <c r="I42" t="n">
        <v>42.73</v>
      </c>
      <c r="J42" t="n">
        <v>-6.01</v>
      </c>
      <c r="K42" t="n">
        <v>-27.24</v>
      </c>
      <c r="L42">
        <f>ROUND(SQRT((I42-I30)^2+(J42-J30)^2+(K42-K30)^2),2)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Azurite</t>
        </is>
      </c>
      <c r="E43" t="inlineStr">
        <is>
          <t>pedestal</t>
        </is>
      </c>
      <c r="F43" t="inlineStr">
        <is>
          <t>NB.3</t>
        </is>
      </c>
      <c r="G43" t="inlineStr">
        <is>
          <t>6.17</t>
        </is>
      </c>
      <c r="H43" t="n">
        <v>61</v>
      </c>
      <c r="I43" t="n">
        <v>41.52</v>
      </c>
      <c r="J43" t="n">
        <v>-4.96</v>
      </c>
      <c r="K43" t="n">
        <v>-29.5</v>
      </c>
      <c r="L43">
        <f>ROUND(SQRT((I43-I30)^2+(J43-J30)^2+(K43-K30)^2),2)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Azurite</t>
        </is>
      </c>
      <c r="E44" t="inlineStr">
        <is>
          <t>block</t>
        </is>
      </c>
      <c r="F44" t="inlineStr">
        <is>
          <t>NTB.1</t>
        </is>
      </c>
      <c r="G44" t="inlineStr">
        <is>
          <t>4.17</t>
        </is>
      </c>
      <c r="H44" t="n">
        <v>0</v>
      </c>
      <c r="I44" s="4" t="n">
        <v>41.84</v>
      </c>
      <c r="J44" s="4" t="n">
        <v>-6.58</v>
      </c>
      <c r="K44" s="4" t="n">
        <v>-27.86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Azurite</t>
        </is>
      </c>
      <c r="E45" t="inlineStr">
        <is>
          <t>block</t>
        </is>
      </c>
      <c r="F45" t="inlineStr">
        <is>
          <t>NTB.1</t>
        </is>
      </c>
      <c r="G45" t="inlineStr">
        <is>
          <t>4.20</t>
        </is>
      </c>
      <c r="H45" t="n">
        <v>3</v>
      </c>
      <c r="I45" t="n">
        <v>42.35</v>
      </c>
      <c r="J45" t="n">
        <v>-5.82</v>
      </c>
      <c r="K45" t="n">
        <v>-27.49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Azurite</t>
        </is>
      </c>
      <c r="E46" t="inlineStr">
        <is>
          <t>block</t>
        </is>
      </c>
      <c r="F46" t="inlineStr">
        <is>
          <t>NTB.1</t>
        </is>
      </c>
      <c r="G46" t="inlineStr">
        <is>
          <t>4.23</t>
        </is>
      </c>
      <c r="H46" t="n">
        <v>6</v>
      </c>
      <c r="I46" t="n">
        <v>41.74</v>
      </c>
      <c r="J46" t="n">
        <v>-6.4</v>
      </c>
      <c r="K46" t="n">
        <v>-27.86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Azurite</t>
        </is>
      </c>
      <c r="E47" t="inlineStr">
        <is>
          <t>block</t>
        </is>
      </c>
      <c r="F47" t="inlineStr">
        <is>
          <t>NTB.1</t>
        </is>
      </c>
      <c r="G47" t="inlineStr">
        <is>
          <t>4.26</t>
        </is>
      </c>
      <c r="H47" t="n">
        <v>9</v>
      </c>
      <c r="I47" t="n">
        <v>43.34</v>
      </c>
      <c r="J47" t="n">
        <v>-7.64</v>
      </c>
      <c r="K47" t="n">
        <v>-25.83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Azurite</t>
        </is>
      </c>
      <c r="E48" t="inlineStr">
        <is>
          <t>block</t>
        </is>
      </c>
      <c r="F48" t="inlineStr">
        <is>
          <t>NTB.1</t>
        </is>
      </c>
      <c r="G48" t="inlineStr">
        <is>
          <t>4.29</t>
        </is>
      </c>
      <c r="H48" t="n">
        <v>12</v>
      </c>
      <c r="I48" t="n">
        <v>42.31</v>
      </c>
      <c r="J48" t="n">
        <v>-6.66</v>
      </c>
      <c r="K48" t="n">
        <v>-27.2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Azurite</t>
        </is>
      </c>
      <c r="E49" t="inlineStr">
        <is>
          <t>block</t>
        </is>
      </c>
      <c r="F49" t="inlineStr">
        <is>
          <t>NTB.1</t>
        </is>
      </c>
      <c r="G49" t="inlineStr">
        <is>
          <t>5.12</t>
        </is>
      </c>
      <c r="H49" t="n">
        <v>25</v>
      </c>
      <c r="I49" t="n">
        <v>43.08</v>
      </c>
      <c r="J49" t="n">
        <v>-6.73</v>
      </c>
      <c r="K49" t="n">
        <v>-27.63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Azurite</t>
        </is>
      </c>
      <c r="E50" t="inlineStr">
        <is>
          <t>block</t>
        </is>
      </c>
      <c r="F50" t="inlineStr">
        <is>
          <t>NTB.1</t>
        </is>
      </c>
      <c r="G50" t="inlineStr">
        <is>
          <t>5.14</t>
        </is>
      </c>
      <c r="H50" t="n">
        <v>27</v>
      </c>
      <c r="I50" t="n">
        <v>43.34</v>
      </c>
      <c r="J50" t="n">
        <v>-6.99</v>
      </c>
      <c r="K50" t="n">
        <v>-26.69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Azurite</t>
        </is>
      </c>
      <c r="E51" t="inlineStr">
        <is>
          <t>block</t>
        </is>
      </c>
      <c r="F51" t="inlineStr">
        <is>
          <t>NTB.1</t>
        </is>
      </c>
      <c r="G51" t="inlineStr">
        <is>
          <t>5.18</t>
        </is>
      </c>
      <c r="H51" t="n">
        <v>31</v>
      </c>
      <c r="I51" t="n">
        <v>43.08</v>
      </c>
      <c r="J51" t="n">
        <v>-6.61</v>
      </c>
      <c r="K51" t="n">
        <v>-27.7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Azurite</t>
        </is>
      </c>
      <c r="E52" t="inlineStr">
        <is>
          <t>block</t>
        </is>
      </c>
      <c r="F52" t="inlineStr">
        <is>
          <t>NTB.1</t>
        </is>
      </c>
      <c r="G52" t="inlineStr">
        <is>
          <t>5.21</t>
        </is>
      </c>
      <c r="H52" t="n">
        <v>34</v>
      </c>
      <c r="I52" t="n">
        <v>43.65</v>
      </c>
      <c r="J52" t="n">
        <v>-6.51</v>
      </c>
      <c r="K52" t="n">
        <v>-26.67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Azurite</t>
        </is>
      </c>
      <c r="E53" t="inlineStr">
        <is>
          <t>block</t>
        </is>
      </c>
      <c r="F53" t="inlineStr">
        <is>
          <t>NTB.1</t>
        </is>
      </c>
      <c r="G53" t="inlineStr">
        <is>
          <t>5.24</t>
        </is>
      </c>
      <c r="H53" t="n">
        <v>37</v>
      </c>
      <c r="I53" t="n">
        <v>43.13</v>
      </c>
      <c r="J53" t="n">
        <v>-6.29</v>
      </c>
      <c r="K53" t="n">
        <v>-27.8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Azurite</t>
        </is>
      </c>
      <c r="E54" t="inlineStr">
        <is>
          <t>block</t>
        </is>
      </c>
      <c r="F54" t="inlineStr">
        <is>
          <t>NTB.1</t>
        </is>
      </c>
      <c r="G54" t="inlineStr">
        <is>
          <t>5.28</t>
        </is>
      </c>
      <c r="H54" t="n">
        <v>41</v>
      </c>
      <c r="I54" t="n">
        <v>42.83</v>
      </c>
      <c r="J54" t="n">
        <v>-6.11</v>
      </c>
      <c r="K54" t="n">
        <v>-27.17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Azurite</t>
        </is>
      </c>
      <c r="E55" t="inlineStr">
        <is>
          <t>block</t>
        </is>
      </c>
      <c r="F55" t="inlineStr">
        <is>
          <t>NTB.1</t>
        </is>
      </c>
      <c r="G55" t="inlineStr">
        <is>
          <t>6.09</t>
        </is>
      </c>
      <c r="H55" t="n">
        <v>53</v>
      </c>
      <c r="I55" t="n">
        <v>43.24</v>
      </c>
      <c r="J55" t="n">
        <v>-5.61</v>
      </c>
      <c r="K55" t="n">
        <v>-27.17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Azurite</t>
        </is>
      </c>
      <c r="E56" t="inlineStr">
        <is>
          <t>block</t>
        </is>
      </c>
      <c r="F56" t="inlineStr">
        <is>
          <t>NTB.1</t>
        </is>
      </c>
      <c r="G56" t="inlineStr">
        <is>
          <t>6.13</t>
        </is>
      </c>
      <c r="H56" t="n">
        <v>57</v>
      </c>
      <c r="I56" t="n">
        <v>44.13</v>
      </c>
      <c r="J56" t="n">
        <v>-6.69</v>
      </c>
      <c r="K56" t="n">
        <v>-27.64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Azurite</t>
        </is>
      </c>
      <c r="E57" t="inlineStr">
        <is>
          <t>block</t>
        </is>
      </c>
      <c r="F57" t="inlineStr">
        <is>
          <t>NTB.1</t>
        </is>
      </c>
      <c r="G57" t="inlineStr">
        <is>
          <t>6.17</t>
        </is>
      </c>
      <c r="H57" t="n">
        <v>61</v>
      </c>
      <c r="I57" t="n">
        <v>43.44</v>
      </c>
      <c r="J57" t="n">
        <v>-6.01</v>
      </c>
      <c r="K57" t="n">
        <v>-25.66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Azurite</t>
        </is>
      </c>
      <c r="E58" t="inlineStr">
        <is>
          <t>block</t>
        </is>
      </c>
      <c r="F58" t="inlineStr">
        <is>
          <t>NTB.2</t>
        </is>
      </c>
      <c r="G58" t="inlineStr">
        <is>
          <t>4.17</t>
        </is>
      </c>
      <c r="H58" t="n">
        <v>0</v>
      </c>
      <c r="I58" s="4" t="n">
        <v>39.5</v>
      </c>
      <c r="J58" s="4" t="n">
        <v>-5.82</v>
      </c>
      <c r="K58" s="4" t="n">
        <v>-29.2</v>
      </c>
      <c r="L58" t="n">
        <v>0</v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Azurite</t>
        </is>
      </c>
      <c r="E59" t="inlineStr">
        <is>
          <t>block</t>
        </is>
      </c>
      <c r="F59" t="inlineStr">
        <is>
          <t>NTB.2</t>
        </is>
      </c>
      <c r="G59" t="inlineStr">
        <is>
          <t>4.20</t>
        </is>
      </c>
      <c r="H59" t="n">
        <v>3</v>
      </c>
      <c r="I59" t="n">
        <v>38.76</v>
      </c>
      <c r="J59" t="n">
        <v>-5.38</v>
      </c>
      <c r="K59" t="n">
        <v>-29.09</v>
      </c>
      <c r="L59">
        <f>ROUND(SQRT((I59-I58)^2+(J59-J58)^2+(K59-K58)^2),2)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Azurite</t>
        </is>
      </c>
      <c r="E60" t="inlineStr">
        <is>
          <t>block</t>
        </is>
      </c>
      <c r="F60" t="inlineStr">
        <is>
          <t>NTB.2</t>
        </is>
      </c>
      <c r="G60" t="inlineStr">
        <is>
          <t>4.23</t>
        </is>
      </c>
      <c r="H60" t="n">
        <v>6</v>
      </c>
      <c r="I60" t="n">
        <v>38.97</v>
      </c>
      <c r="J60" t="n">
        <v>-5.92</v>
      </c>
      <c r="K60" t="n">
        <v>-28.35</v>
      </c>
      <c r="L60">
        <f>ROUND(SQRT((I60-I58)^2+(J60-J58)^2+(K60-K58)^2),2)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Azurite</t>
        </is>
      </c>
      <c r="E61" t="inlineStr">
        <is>
          <t>block</t>
        </is>
      </c>
      <c r="F61" t="inlineStr">
        <is>
          <t>NTB.2</t>
        </is>
      </c>
      <c r="G61" t="inlineStr">
        <is>
          <t>4.26</t>
        </is>
      </c>
      <c r="H61" t="n">
        <v>9</v>
      </c>
      <c r="I61" t="n">
        <v>38.68</v>
      </c>
      <c r="J61" t="n">
        <v>-5.23</v>
      </c>
      <c r="K61" t="n">
        <v>-29.46</v>
      </c>
      <c r="L61">
        <f>ROUND(SQRT((I61-I58)^2+(J61-J58)^2+(K61-K58)^2),2)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Azurite</t>
        </is>
      </c>
      <c r="E62" t="inlineStr">
        <is>
          <t>block</t>
        </is>
      </c>
      <c r="F62" t="inlineStr">
        <is>
          <t>NTB.2</t>
        </is>
      </c>
      <c r="G62" t="inlineStr">
        <is>
          <t>4.29</t>
        </is>
      </c>
      <c r="H62" t="n">
        <v>12</v>
      </c>
      <c r="I62" t="n">
        <v>40.28</v>
      </c>
      <c r="J62" t="n">
        <v>-5.32</v>
      </c>
      <c r="K62" t="n">
        <v>-27.73</v>
      </c>
      <c r="L62">
        <f>ROUND(SQRT((I62-I58)^2+(J62-J58)^2+(K62-K58)^2),2)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Azurite</t>
        </is>
      </c>
      <c r="E63" t="inlineStr">
        <is>
          <t>block</t>
        </is>
      </c>
      <c r="F63" t="inlineStr">
        <is>
          <t>NTB.2</t>
        </is>
      </c>
      <c r="G63" t="inlineStr">
        <is>
          <t>5.12</t>
        </is>
      </c>
      <c r="H63" t="n">
        <v>25</v>
      </c>
      <c r="I63" t="n">
        <v>39.55</v>
      </c>
      <c r="J63" t="n">
        <v>-6.2</v>
      </c>
      <c r="K63" t="n">
        <v>-28.14</v>
      </c>
      <c r="L63">
        <f>ROUND(SQRT((I63-I58)^2+(J63-J58)^2+(K63-K58)^2),2)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Azurite</t>
        </is>
      </c>
      <c r="E64" t="inlineStr">
        <is>
          <t>block</t>
        </is>
      </c>
      <c r="F64" t="inlineStr">
        <is>
          <t>NTB.2</t>
        </is>
      </c>
      <c r="G64" t="inlineStr">
        <is>
          <t>5.14</t>
        </is>
      </c>
      <c r="H64" t="n">
        <v>27</v>
      </c>
      <c r="I64" t="n">
        <v>39.56</v>
      </c>
      <c r="J64" t="n">
        <v>-5.89</v>
      </c>
      <c r="K64" t="n">
        <v>-28.84</v>
      </c>
      <c r="L64">
        <f>ROUND(SQRT((I64-I58)^2+(J64-J58)^2+(K64-K58)^2),2)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Azurite</t>
        </is>
      </c>
      <c r="E65" t="inlineStr">
        <is>
          <t>block</t>
        </is>
      </c>
      <c r="F65" t="inlineStr">
        <is>
          <t>NTB.2</t>
        </is>
      </c>
      <c r="G65" t="inlineStr">
        <is>
          <t>5.18</t>
        </is>
      </c>
      <c r="H65" t="n">
        <v>31</v>
      </c>
      <c r="I65" t="n">
        <v>40.66</v>
      </c>
      <c r="J65" t="n">
        <v>-6.15</v>
      </c>
      <c r="K65" t="n">
        <v>-27.36</v>
      </c>
      <c r="L65">
        <f>ROUND(SQRT((I65-I58)^2+(J65-J58)^2+(K65-K58)^2),2)</f>
        <v/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Azurite</t>
        </is>
      </c>
      <c r="E66" t="inlineStr">
        <is>
          <t>block</t>
        </is>
      </c>
      <c r="F66" t="inlineStr">
        <is>
          <t>NTB.2</t>
        </is>
      </c>
      <c r="G66" t="inlineStr">
        <is>
          <t>5.21</t>
        </is>
      </c>
      <c r="H66" t="n">
        <v>34</v>
      </c>
      <c r="I66" t="n">
        <v>40.3</v>
      </c>
      <c r="J66" t="n">
        <v>-4.84</v>
      </c>
      <c r="K66" t="n">
        <v>-28.48</v>
      </c>
      <c r="L66">
        <f>ROUND(SQRT((I66-I58)^2+(J66-J58)^2+(K66-K58)^2),2)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Azurite</t>
        </is>
      </c>
      <c r="E67" t="inlineStr">
        <is>
          <t>block</t>
        </is>
      </c>
      <c r="F67" t="inlineStr">
        <is>
          <t>NTB.2</t>
        </is>
      </c>
      <c r="G67" t="inlineStr">
        <is>
          <t>5.24</t>
        </is>
      </c>
      <c r="H67" t="n">
        <v>37</v>
      </c>
      <c r="I67" t="n">
        <v>40.18</v>
      </c>
      <c r="J67" t="n">
        <v>-6.47</v>
      </c>
      <c r="K67" t="n">
        <v>-28.93</v>
      </c>
      <c r="L67">
        <f>ROUND(SQRT((I67-I58)^2+(J67-J58)^2+(K67-K58)^2),2)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Azurite</t>
        </is>
      </c>
      <c r="E68" t="inlineStr">
        <is>
          <t>block</t>
        </is>
      </c>
      <c r="F68" t="inlineStr">
        <is>
          <t>NTB.2</t>
        </is>
      </c>
      <c r="G68" t="inlineStr">
        <is>
          <t>5.28</t>
        </is>
      </c>
      <c r="H68" t="n">
        <v>41</v>
      </c>
      <c r="I68" t="n">
        <v>41.51</v>
      </c>
      <c r="J68" t="n">
        <v>-5.47</v>
      </c>
      <c r="K68" t="n">
        <v>-27.15</v>
      </c>
      <c r="L68">
        <f>ROUND(SQRT((I68-I58)^2+(J68-J58)^2+(K68-K58)^2),2)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Azurite</t>
        </is>
      </c>
      <c r="E69" t="inlineStr">
        <is>
          <t>block</t>
        </is>
      </c>
      <c r="F69" t="inlineStr">
        <is>
          <t>NTB.2</t>
        </is>
      </c>
      <c r="G69" t="inlineStr">
        <is>
          <t>6.09</t>
        </is>
      </c>
      <c r="H69" t="n">
        <v>53</v>
      </c>
      <c r="I69" t="n">
        <v>39.83</v>
      </c>
      <c r="J69" t="n">
        <v>-5.1</v>
      </c>
      <c r="K69" t="n">
        <v>-27.99</v>
      </c>
      <c r="L69">
        <f>ROUND(SQRT((I69-I58)^2+(J69-J58)^2+(K69-K58)^2),2)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Azurite</t>
        </is>
      </c>
      <c r="E70" t="inlineStr">
        <is>
          <t>block</t>
        </is>
      </c>
      <c r="F70" t="inlineStr">
        <is>
          <t>NTB.2</t>
        </is>
      </c>
      <c r="G70" t="inlineStr">
        <is>
          <t>6.13</t>
        </is>
      </c>
      <c r="H70" t="n">
        <v>57</v>
      </c>
      <c r="I70" t="n">
        <v>40.83</v>
      </c>
      <c r="J70" t="n">
        <v>-6.24</v>
      </c>
      <c r="K70" t="n">
        <v>-25.85</v>
      </c>
      <c r="L70">
        <f>ROUND(SQRT((I70-I58)^2+(J70-J58)^2+(K70-K58)^2),2)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Azurite</t>
        </is>
      </c>
      <c r="E71" t="inlineStr">
        <is>
          <t>block</t>
        </is>
      </c>
      <c r="F71" t="inlineStr">
        <is>
          <t>NTB.2</t>
        </is>
      </c>
      <c r="G71" t="inlineStr">
        <is>
          <t>6.17</t>
        </is>
      </c>
      <c r="H71" t="n">
        <v>61</v>
      </c>
      <c r="I71" t="n">
        <v>40.2</v>
      </c>
      <c r="J71" t="n">
        <v>-5.7</v>
      </c>
      <c r="K71" t="n">
        <v>-27.51</v>
      </c>
      <c r="L71">
        <f>ROUND(SQRT((I71-I58)^2+(J71-J58)^2+(K71-K58)^2),2)</f>
        <v/>
      </c>
      <c r="M71" t="inlineStr">
        <is>
          <t>measured</t>
        </is>
      </c>
    </row>
    <row r="72">
      <c r="A72" t="inlineStr">
        <is>
          <t>40C_10RH_chamber</t>
        </is>
      </c>
      <c r="B72" t="inlineStr">
        <is>
          <t>40 C / 10%RH (chamber arm)</t>
        </is>
      </c>
      <c r="C72" t="inlineStr">
        <is>
          <t>measured</t>
        </is>
      </c>
      <c r="D72" t="inlineStr">
        <is>
          <t>Azurite</t>
        </is>
      </c>
      <c r="E72" t="inlineStr">
        <is>
          <t>pedestal</t>
        </is>
      </c>
      <c r="F72" t="inlineStr">
        <is>
          <t>HB.1</t>
        </is>
      </c>
      <c r="G72" t="inlineStr">
        <is>
          <t>4.17</t>
        </is>
      </c>
      <c r="H72" t="n">
        <v>0</v>
      </c>
      <c r="I72" s="4" t="n">
        <v>41.4</v>
      </c>
      <c r="J72" s="4" t="n">
        <v>-5.3</v>
      </c>
      <c r="K72" s="4" t="n">
        <v>-32.75</v>
      </c>
      <c r="L72" t="n">
        <v>0</v>
      </c>
      <c r="M72" t="inlineStr">
        <is>
          <t>measured</t>
        </is>
      </c>
    </row>
    <row r="73">
      <c r="A73" t="inlineStr">
        <is>
          <t>40C_10RH_chamber</t>
        </is>
      </c>
      <c r="B73" t="inlineStr">
        <is>
          <t>40 C / 10%RH (chamber arm)</t>
        </is>
      </c>
      <c r="C73" t="inlineStr">
        <is>
          <t>measured</t>
        </is>
      </c>
      <c r="D73" t="inlineStr">
        <is>
          <t>Azurite</t>
        </is>
      </c>
      <c r="E73" t="inlineStr">
        <is>
          <t>pedestal</t>
        </is>
      </c>
      <c r="F73" t="inlineStr">
        <is>
          <t>HB.1</t>
        </is>
      </c>
      <c r="G73" t="inlineStr">
        <is>
          <t>4.20</t>
        </is>
      </c>
      <c r="H73" t="n">
        <v>3</v>
      </c>
      <c r="I73" t="n">
        <v>40.81</v>
      </c>
      <c r="J73" t="n">
        <v>-5.17</v>
      </c>
      <c r="K73" t="n">
        <v>-33.05</v>
      </c>
      <c r="L73">
        <f>ROUND(SQRT((I73-I72)^2+(J73-J72)^2+(K73-K72)^2),2)</f>
        <v/>
      </c>
      <c r="M73" t="inlineStr">
        <is>
          <t>measured</t>
        </is>
      </c>
    </row>
    <row r="74">
      <c r="A74" t="inlineStr">
        <is>
          <t>40C_10RH_chamber</t>
        </is>
      </c>
      <c r="B74" t="inlineStr">
        <is>
          <t>40 C / 10%RH (chamber arm)</t>
        </is>
      </c>
      <c r="C74" t="inlineStr">
        <is>
          <t>measured</t>
        </is>
      </c>
      <c r="D74" t="inlineStr">
        <is>
          <t>Azurite</t>
        </is>
      </c>
      <c r="E74" t="inlineStr">
        <is>
          <t>pedestal</t>
        </is>
      </c>
      <c r="F74" t="inlineStr">
        <is>
          <t>HB.1</t>
        </is>
      </c>
      <c r="G74" t="inlineStr">
        <is>
          <t>4.23</t>
        </is>
      </c>
      <c r="H74" t="n">
        <v>6</v>
      </c>
      <c r="I74" t="n">
        <v>41.05</v>
      </c>
      <c r="J74" t="n">
        <v>-5.69</v>
      </c>
      <c r="K74" t="n">
        <v>-32.15</v>
      </c>
      <c r="L74">
        <f>ROUND(SQRT((I74-I72)^2+(J74-J72)^2+(K74-K72)^2),2)</f>
        <v/>
      </c>
      <c r="M74" t="inlineStr">
        <is>
          <t>measured</t>
        </is>
      </c>
    </row>
    <row r="75">
      <c r="A75" t="inlineStr">
        <is>
          <t>40C_10RH_chamber</t>
        </is>
      </c>
      <c r="B75" t="inlineStr">
        <is>
          <t>40 C / 10%RH (chamber arm)</t>
        </is>
      </c>
      <c r="C75" t="inlineStr">
        <is>
          <t>measured</t>
        </is>
      </c>
      <c r="D75" t="inlineStr">
        <is>
          <t>Azurite</t>
        </is>
      </c>
      <c r="E75" t="inlineStr">
        <is>
          <t>pedestal</t>
        </is>
      </c>
      <c r="F75" t="inlineStr">
        <is>
          <t>HB.1</t>
        </is>
      </c>
      <c r="G75" t="inlineStr">
        <is>
          <t>4.26</t>
        </is>
      </c>
      <c r="H75" t="n">
        <v>9</v>
      </c>
      <c r="I75" t="n">
        <v>39.96</v>
      </c>
      <c r="J75" t="n">
        <v>-4.96</v>
      </c>
      <c r="K75" t="n">
        <v>-33.32</v>
      </c>
      <c r="L75">
        <f>ROUND(SQRT((I75-I72)^2+(J75-J72)^2+(K75-K72)^2),2)</f>
        <v/>
      </c>
      <c r="M75" t="inlineStr">
        <is>
          <t>measured</t>
        </is>
      </c>
    </row>
    <row r="76">
      <c r="A76" t="inlineStr">
        <is>
          <t>40C_10RH_chamber</t>
        </is>
      </c>
      <c r="B76" t="inlineStr">
        <is>
          <t>40 C / 10%RH (chamber arm)</t>
        </is>
      </c>
      <c r="C76" t="inlineStr">
        <is>
          <t>measured</t>
        </is>
      </c>
      <c r="D76" t="inlineStr">
        <is>
          <t>Azurite</t>
        </is>
      </c>
      <c r="E76" t="inlineStr">
        <is>
          <t>pedestal</t>
        </is>
      </c>
      <c r="F76" t="inlineStr">
        <is>
          <t>HB.1</t>
        </is>
      </c>
      <c r="G76" t="inlineStr">
        <is>
          <t>4.29</t>
        </is>
      </c>
      <c r="H76" t="n">
        <v>12</v>
      </c>
      <c r="I76" t="n">
        <v>42.36</v>
      </c>
      <c r="J76" t="n">
        <v>-5.48</v>
      </c>
      <c r="K76" t="n">
        <v>-30.93</v>
      </c>
      <c r="L76">
        <f>ROUND(SQRT((I76-I72)^2+(J76-J72)^2+(K76-K72)^2),2)</f>
        <v/>
      </c>
      <c r="M76" t="inlineStr">
        <is>
          <t>measured</t>
        </is>
      </c>
    </row>
    <row r="77">
      <c r="A77" t="inlineStr">
        <is>
          <t>40C_10RH_chamber</t>
        </is>
      </c>
      <c r="B77" t="inlineStr">
        <is>
          <t>40 C / 10%RH (chamber arm)</t>
        </is>
      </c>
      <c r="C77" t="inlineStr">
        <is>
          <t>measured</t>
        </is>
      </c>
      <c r="D77" t="inlineStr">
        <is>
          <t>Azurite</t>
        </is>
      </c>
      <c r="E77" t="inlineStr">
        <is>
          <t>pedestal</t>
        </is>
      </c>
      <c r="F77" t="inlineStr">
        <is>
          <t>HB.1</t>
        </is>
      </c>
      <c r="G77" t="inlineStr">
        <is>
          <t>5.12</t>
        </is>
      </c>
      <c r="H77" t="n">
        <v>25</v>
      </c>
      <c r="I77" t="n">
        <v>41.33</v>
      </c>
      <c r="J77" t="n">
        <v>-5.5</v>
      </c>
      <c r="K77" t="n">
        <v>-32.7</v>
      </c>
      <c r="L77">
        <f>ROUND(SQRT((I77-I72)^2+(J77-J72)^2+(K77-K72)^2),2)</f>
        <v/>
      </c>
      <c r="M77" t="inlineStr">
        <is>
          <t>measured</t>
        </is>
      </c>
    </row>
    <row r="78">
      <c r="A78" t="inlineStr">
        <is>
          <t>40C_10RH_chamber</t>
        </is>
      </c>
      <c r="B78" t="inlineStr">
        <is>
          <t>40 C / 10%RH (chamber arm)</t>
        </is>
      </c>
      <c r="C78" t="inlineStr">
        <is>
          <t>measured</t>
        </is>
      </c>
      <c r="D78" t="inlineStr">
        <is>
          <t>Azurite</t>
        </is>
      </c>
      <c r="E78" t="inlineStr">
        <is>
          <t>pedestal</t>
        </is>
      </c>
      <c r="F78" t="inlineStr">
        <is>
          <t>HB.1</t>
        </is>
      </c>
      <c r="G78" t="inlineStr">
        <is>
          <t>5.14</t>
        </is>
      </c>
      <c r="H78" t="n">
        <v>27</v>
      </c>
      <c r="I78" t="n">
        <v>43.49</v>
      </c>
      <c r="J78" t="n">
        <v>-6.03</v>
      </c>
      <c r="K78" t="n">
        <v>-29.58</v>
      </c>
      <c r="L78">
        <f>ROUND(SQRT((I78-I72)^2+(J78-J72)^2+(K78-K72)^2),2)</f>
        <v/>
      </c>
      <c r="M78" t="inlineStr">
        <is>
          <t>measured</t>
        </is>
      </c>
    </row>
    <row r="79">
      <c r="A79" t="inlineStr">
        <is>
          <t>40C_10RH_chamber</t>
        </is>
      </c>
      <c r="B79" t="inlineStr">
        <is>
          <t>40 C / 10%RH (chamber arm)</t>
        </is>
      </c>
      <c r="C79" t="inlineStr">
        <is>
          <t>measured</t>
        </is>
      </c>
      <c r="D79" t="inlineStr">
        <is>
          <t>Azurite</t>
        </is>
      </c>
      <c r="E79" t="inlineStr">
        <is>
          <t>pedestal</t>
        </is>
      </c>
      <c r="F79" t="inlineStr">
        <is>
          <t>HB.1</t>
        </is>
      </c>
      <c r="G79" t="inlineStr">
        <is>
          <t>5.18</t>
        </is>
      </c>
      <c r="H79" t="n">
        <v>31</v>
      </c>
      <c r="I79" t="n">
        <v>44.44</v>
      </c>
      <c r="J79" t="n">
        <v>-6.82</v>
      </c>
      <c r="K79" t="n">
        <v>-31.63</v>
      </c>
      <c r="L79">
        <f>ROUND(SQRT((I79-I72)^2+(J79-J72)^2+(K79-K72)^2),2)</f>
        <v/>
      </c>
      <c r="M79" t="inlineStr">
        <is>
          <t>measured</t>
        </is>
      </c>
    </row>
    <row r="80">
      <c r="A80" t="inlineStr">
        <is>
          <t>40C_10RH_chamber</t>
        </is>
      </c>
      <c r="B80" t="inlineStr">
        <is>
          <t>40 C / 10%RH (chamber arm)</t>
        </is>
      </c>
      <c r="C80" t="inlineStr">
        <is>
          <t>measured</t>
        </is>
      </c>
      <c r="D80" t="inlineStr">
        <is>
          <t>Azurite</t>
        </is>
      </c>
      <c r="E80" t="inlineStr">
        <is>
          <t>pedestal</t>
        </is>
      </c>
      <c r="F80" t="inlineStr">
        <is>
          <t>HB.1</t>
        </is>
      </c>
      <c r="G80" t="inlineStr">
        <is>
          <t>5.21</t>
        </is>
      </c>
      <c r="H80" t="n">
        <v>34</v>
      </c>
      <c r="I80" t="n">
        <v>42.05</v>
      </c>
      <c r="J80" t="n">
        <v>-6.25</v>
      </c>
      <c r="K80" t="n">
        <v>-33.21</v>
      </c>
      <c r="L80">
        <f>ROUND(SQRT((I80-I72)^2+(J80-J72)^2+(K80-K72)^2),2)</f>
        <v/>
      </c>
      <c r="M80" t="inlineStr">
        <is>
          <t>measured</t>
        </is>
      </c>
    </row>
    <row r="81">
      <c r="A81" t="inlineStr">
        <is>
          <t>40C_10RH_chamber</t>
        </is>
      </c>
      <c r="B81" t="inlineStr">
        <is>
          <t>40 C / 10%RH (chamber arm)</t>
        </is>
      </c>
      <c r="C81" t="inlineStr">
        <is>
          <t>measured</t>
        </is>
      </c>
      <c r="D81" t="inlineStr">
        <is>
          <t>Azurite</t>
        </is>
      </c>
      <c r="E81" t="inlineStr">
        <is>
          <t>pedestal</t>
        </is>
      </c>
      <c r="F81" t="inlineStr">
        <is>
          <t>HB.1</t>
        </is>
      </c>
      <c r="G81" t="inlineStr">
        <is>
          <t>5.24</t>
        </is>
      </c>
      <c r="H81" t="n">
        <v>37</v>
      </c>
      <c r="I81" t="n">
        <v>41.8</v>
      </c>
      <c r="J81" t="n">
        <v>-5.65</v>
      </c>
      <c r="K81" t="n">
        <v>-33.66</v>
      </c>
      <c r="L81">
        <f>ROUND(SQRT((I81-I72)^2+(J81-J72)^2+(K81-K72)^2),2)</f>
        <v/>
      </c>
      <c r="M81" t="inlineStr">
        <is>
          <t>measured</t>
        </is>
      </c>
    </row>
    <row r="82">
      <c r="A82" t="inlineStr">
        <is>
          <t>40C_10RH_chamber</t>
        </is>
      </c>
      <c r="B82" t="inlineStr">
        <is>
          <t>40 C / 10%RH (chamber arm)</t>
        </is>
      </c>
      <c r="C82" t="inlineStr">
        <is>
          <t>measured</t>
        </is>
      </c>
      <c r="D82" t="inlineStr">
        <is>
          <t>Azurite</t>
        </is>
      </c>
      <c r="E82" t="inlineStr">
        <is>
          <t>pedestal</t>
        </is>
      </c>
      <c r="F82" t="inlineStr">
        <is>
          <t>HB.1</t>
        </is>
      </c>
      <c r="G82" t="inlineStr">
        <is>
          <t>5.28</t>
        </is>
      </c>
      <c r="H82" t="n">
        <v>41</v>
      </c>
      <c r="I82" s="5" t="n">
        <v>42.22</v>
      </c>
      <c r="J82" s="5" t="n">
        <v>-6.45</v>
      </c>
      <c r="K82" s="5" t="n">
        <v>-31.34</v>
      </c>
      <c r="L82">
        <f>ROUND(SQRT((I82-I72)^2+(J82-J72)^2+(K82-K72)^2),2)</f>
        <v/>
      </c>
      <c r="M82" t="inlineStr">
        <is>
          <t>measured</t>
        </is>
      </c>
    </row>
    <row r="83">
      <c r="A83" t="inlineStr">
        <is>
          <t>40C_10RH_chamber</t>
        </is>
      </c>
      <c r="B83" t="inlineStr">
        <is>
          <t>40 C / 10%RH (chamber arm)</t>
        </is>
      </c>
      <c r="C83" t="inlineStr">
        <is>
          <t>measured</t>
        </is>
      </c>
      <c r="D83" t="inlineStr">
        <is>
          <t>Azurite</t>
        </is>
      </c>
      <c r="E83" t="inlineStr">
        <is>
          <t>pedestal</t>
        </is>
      </c>
      <c r="F83" t="inlineStr">
        <is>
          <t>HB.1</t>
        </is>
      </c>
      <c r="G83" t="inlineStr">
        <is>
          <t>6.09</t>
        </is>
      </c>
      <c r="H83" t="n">
        <v>53</v>
      </c>
      <c r="I83" t="n">
        <v>40.98</v>
      </c>
      <c r="J83" t="n">
        <v>-5.22</v>
      </c>
      <c r="K83" t="n">
        <v>-33.95</v>
      </c>
      <c r="L83">
        <f>ROUND(SQRT((I83-I72)^2+(J83-J72)^2+(K83-K72)^2),2)</f>
        <v/>
      </c>
      <c r="M83" t="inlineStr">
        <is>
          <t>measured</t>
        </is>
      </c>
    </row>
    <row r="84">
      <c r="A84" t="inlineStr">
        <is>
          <t>40C_10RH_chamber</t>
        </is>
      </c>
      <c r="B84" t="inlineStr">
        <is>
          <t>40 C / 10%RH (chamber arm)</t>
        </is>
      </c>
      <c r="C84" t="inlineStr">
        <is>
          <t>measured</t>
        </is>
      </c>
      <c r="D84" t="inlineStr">
        <is>
          <t>Azurite</t>
        </is>
      </c>
      <c r="E84" t="inlineStr">
        <is>
          <t>pedestal</t>
        </is>
      </c>
      <c r="F84" t="inlineStr">
        <is>
          <t>HB.1</t>
        </is>
      </c>
      <c r="G84" t="inlineStr">
        <is>
          <t>6.13</t>
        </is>
      </c>
      <c r="H84" t="n">
        <v>57</v>
      </c>
      <c r="I84" t="n">
        <v>41.54</v>
      </c>
      <c r="J84" t="n">
        <v>-6.22</v>
      </c>
      <c r="K84" t="n">
        <v>-31.77</v>
      </c>
      <c r="L84">
        <f>ROUND(SQRT((I84-I72)^2+(J84-J72)^2+(K84-K72)^2),2)</f>
        <v/>
      </c>
      <c r="M84" t="inlineStr">
        <is>
          <t>measured</t>
        </is>
      </c>
    </row>
    <row r="85">
      <c r="A85" t="inlineStr">
        <is>
          <t>40C_10RH_chamber</t>
        </is>
      </c>
      <c r="B85" t="inlineStr">
        <is>
          <t>40 C / 10%RH (chamber arm)</t>
        </is>
      </c>
      <c r="C85" t="inlineStr">
        <is>
          <t>measured</t>
        </is>
      </c>
      <c r="D85" t="inlineStr">
        <is>
          <t>Azurite</t>
        </is>
      </c>
      <c r="E85" t="inlineStr">
        <is>
          <t>pedestal</t>
        </is>
      </c>
      <c r="F85" t="inlineStr">
        <is>
          <t>HB.1</t>
        </is>
      </c>
      <c r="G85" t="inlineStr">
        <is>
          <t>6.17</t>
        </is>
      </c>
      <c r="H85" t="n">
        <v>61</v>
      </c>
      <c r="I85" t="n">
        <v>43.12</v>
      </c>
      <c r="J85" t="n">
        <v>-6.48</v>
      </c>
      <c r="K85" t="n">
        <v>-31.31</v>
      </c>
      <c r="L85">
        <f>ROUND(SQRT((I85-I72)^2+(J85-J72)^2+(K85-K72)^2),2)</f>
        <v/>
      </c>
      <c r="M85" t="inlineStr">
        <is>
          <t>measured</t>
        </is>
      </c>
    </row>
    <row r="86">
      <c r="A86" t="inlineStr">
        <is>
          <t>40C_10RH_chamber</t>
        </is>
      </c>
      <c r="B86" t="inlineStr">
        <is>
          <t>40 C / 10%RH (chamber arm)</t>
        </is>
      </c>
      <c r="C86" t="inlineStr">
        <is>
          <t>measured</t>
        </is>
      </c>
      <c r="D86" t="inlineStr">
        <is>
          <t>Azurite</t>
        </is>
      </c>
      <c r="E86" t="inlineStr">
        <is>
          <t>pedestal</t>
        </is>
      </c>
      <c r="F86" t="inlineStr">
        <is>
          <t>HB.2</t>
        </is>
      </c>
      <c r="G86" t="inlineStr">
        <is>
          <t>4.17</t>
        </is>
      </c>
      <c r="H86" t="n">
        <v>0</v>
      </c>
      <c r="I86" s="4" t="n">
        <v>40.51</v>
      </c>
      <c r="J86" s="4" t="n">
        <v>-4.94</v>
      </c>
      <c r="K86" s="4" t="n">
        <v>-33.11</v>
      </c>
      <c r="L86" t="n">
        <v>0</v>
      </c>
      <c r="M86" t="inlineStr">
        <is>
          <t>measured</t>
        </is>
      </c>
    </row>
    <row r="87">
      <c r="A87" t="inlineStr">
        <is>
          <t>40C_10RH_chamber</t>
        </is>
      </c>
      <c r="B87" t="inlineStr">
        <is>
          <t>40 C / 10%RH (chamber arm)</t>
        </is>
      </c>
      <c r="C87" t="inlineStr">
        <is>
          <t>measured</t>
        </is>
      </c>
      <c r="D87" t="inlineStr">
        <is>
          <t>Azurite</t>
        </is>
      </c>
      <c r="E87" t="inlineStr">
        <is>
          <t>pedestal</t>
        </is>
      </c>
      <c r="F87" t="inlineStr">
        <is>
          <t>HB.2</t>
        </is>
      </c>
      <c r="G87" t="inlineStr">
        <is>
          <t>4.20</t>
        </is>
      </c>
      <c r="H87" t="n">
        <v>3</v>
      </c>
      <c r="I87" t="n">
        <v>40.32</v>
      </c>
      <c r="J87" t="n">
        <v>-5.61</v>
      </c>
      <c r="K87" t="n">
        <v>-31.96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40C_10RH_chamber</t>
        </is>
      </c>
      <c r="B88" t="inlineStr">
        <is>
          <t>40 C / 10%RH (chamber arm)</t>
        </is>
      </c>
      <c r="C88" t="inlineStr">
        <is>
          <t>measured</t>
        </is>
      </c>
      <c r="D88" t="inlineStr">
        <is>
          <t>Azurite</t>
        </is>
      </c>
      <c r="E88" t="inlineStr">
        <is>
          <t>pedestal</t>
        </is>
      </c>
      <c r="F88" t="inlineStr">
        <is>
          <t>HB.2</t>
        </is>
      </c>
      <c r="G88" t="inlineStr">
        <is>
          <t>4.23</t>
        </is>
      </c>
      <c r="H88" t="n">
        <v>6</v>
      </c>
      <c r="I88" t="n">
        <v>40.35</v>
      </c>
      <c r="J88" t="n">
        <v>-5.19</v>
      </c>
      <c r="K88" t="n">
        <v>-32.66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40C_10RH_chamber</t>
        </is>
      </c>
      <c r="B89" t="inlineStr">
        <is>
          <t>40 C / 10%RH (chamber arm)</t>
        </is>
      </c>
      <c r="C89" t="inlineStr">
        <is>
          <t>measured</t>
        </is>
      </c>
      <c r="D89" t="inlineStr">
        <is>
          <t>Azurite</t>
        </is>
      </c>
      <c r="E89" t="inlineStr">
        <is>
          <t>pedestal</t>
        </is>
      </c>
      <c r="F89" t="inlineStr">
        <is>
          <t>HB.2</t>
        </is>
      </c>
      <c r="G89" t="inlineStr">
        <is>
          <t>4.26</t>
        </is>
      </c>
      <c r="H89" t="n">
        <v>9</v>
      </c>
      <c r="I89" t="n">
        <v>40.35</v>
      </c>
      <c r="J89" t="n">
        <v>-5.23</v>
      </c>
      <c r="K89" t="n">
        <v>-32.59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40C_10RH_chamber</t>
        </is>
      </c>
      <c r="B90" t="inlineStr">
        <is>
          <t>40 C / 10%RH (chamber arm)</t>
        </is>
      </c>
      <c r="C90" t="inlineStr">
        <is>
          <t>measured</t>
        </is>
      </c>
      <c r="D90" t="inlineStr">
        <is>
          <t>Azurite</t>
        </is>
      </c>
      <c r="E90" t="inlineStr">
        <is>
          <t>pedestal</t>
        </is>
      </c>
      <c r="F90" t="inlineStr">
        <is>
          <t>HB.2</t>
        </is>
      </c>
      <c r="G90" t="inlineStr">
        <is>
          <t>4.29</t>
        </is>
      </c>
      <c r="H90" t="n">
        <v>12</v>
      </c>
      <c r="I90" t="n">
        <v>40.8</v>
      </c>
      <c r="J90" t="n">
        <v>-4.76</v>
      </c>
      <c r="K90" t="n">
        <v>-33.16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40C_10RH_chamber</t>
        </is>
      </c>
      <c r="B91" t="inlineStr">
        <is>
          <t>40 C / 10%RH (chamber arm)</t>
        </is>
      </c>
      <c r="C91" t="inlineStr">
        <is>
          <t>measured</t>
        </is>
      </c>
      <c r="D91" t="inlineStr">
        <is>
          <t>Azurite</t>
        </is>
      </c>
      <c r="E91" t="inlineStr">
        <is>
          <t>pedestal</t>
        </is>
      </c>
      <c r="F91" t="inlineStr">
        <is>
          <t>HB.2</t>
        </is>
      </c>
      <c r="G91" t="inlineStr">
        <is>
          <t>5.12</t>
        </is>
      </c>
      <c r="H91" t="n">
        <v>25</v>
      </c>
      <c r="I91" t="n">
        <v>40.95</v>
      </c>
      <c r="J91" t="n">
        <v>-5.43</v>
      </c>
      <c r="K91" t="n">
        <v>-32.43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40C_10RH_chamber</t>
        </is>
      </c>
      <c r="B92" t="inlineStr">
        <is>
          <t>40 C / 10%RH (chamber arm)</t>
        </is>
      </c>
      <c r="C92" t="inlineStr">
        <is>
          <t>measured</t>
        </is>
      </c>
      <c r="D92" t="inlineStr">
        <is>
          <t>Azurite</t>
        </is>
      </c>
      <c r="E92" t="inlineStr">
        <is>
          <t>pedestal</t>
        </is>
      </c>
      <c r="F92" t="inlineStr">
        <is>
          <t>HB.2</t>
        </is>
      </c>
      <c r="G92" t="inlineStr">
        <is>
          <t>5.14</t>
        </is>
      </c>
      <c r="H92" t="n">
        <v>27</v>
      </c>
      <c r="I92" t="n">
        <v>40.93</v>
      </c>
      <c r="J92" t="n">
        <v>-4.61</v>
      </c>
      <c r="K92" t="n">
        <v>-33.55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40C_10RH_chamber</t>
        </is>
      </c>
      <c r="B93" t="inlineStr">
        <is>
          <t>40 C / 10%RH (chamber arm)</t>
        </is>
      </c>
      <c r="C93" t="inlineStr">
        <is>
          <t>measured</t>
        </is>
      </c>
      <c r="D93" t="inlineStr">
        <is>
          <t>Azurite</t>
        </is>
      </c>
      <c r="E93" t="inlineStr">
        <is>
          <t>pedestal</t>
        </is>
      </c>
      <c r="F93" t="inlineStr">
        <is>
          <t>HB.2</t>
        </is>
      </c>
      <c r="G93" t="inlineStr">
        <is>
          <t>5.18</t>
        </is>
      </c>
      <c r="H93" t="n">
        <v>31</v>
      </c>
      <c r="I93" t="n">
        <v>40.62</v>
      </c>
      <c r="J93" t="n">
        <v>-4.54</v>
      </c>
      <c r="K93" t="n">
        <v>-33.93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40C_10RH_chamber</t>
        </is>
      </c>
      <c r="B94" t="inlineStr">
        <is>
          <t>40 C / 10%RH (chamber arm)</t>
        </is>
      </c>
      <c r="C94" t="inlineStr">
        <is>
          <t>measured</t>
        </is>
      </c>
      <c r="D94" t="inlineStr">
        <is>
          <t>Azurite</t>
        </is>
      </c>
      <c r="E94" t="inlineStr">
        <is>
          <t>pedestal</t>
        </is>
      </c>
      <c r="F94" t="inlineStr">
        <is>
          <t>HB.2</t>
        </is>
      </c>
      <c r="G94" t="inlineStr">
        <is>
          <t>5.21</t>
        </is>
      </c>
      <c r="H94" t="n">
        <v>34</v>
      </c>
      <c r="I94" t="n">
        <v>40.71</v>
      </c>
      <c r="J94" t="n">
        <v>-4.53</v>
      </c>
      <c r="K94" t="n">
        <v>-33.27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40C_10RH_chamber</t>
        </is>
      </c>
      <c r="B95" t="inlineStr">
        <is>
          <t>40 C / 10%RH (chamber arm)</t>
        </is>
      </c>
      <c r="C95" t="inlineStr">
        <is>
          <t>measured</t>
        </is>
      </c>
      <c r="D95" t="inlineStr">
        <is>
          <t>Azurite</t>
        </is>
      </c>
      <c r="E95" t="inlineStr">
        <is>
          <t>pedestal</t>
        </is>
      </c>
      <c r="F95" t="inlineStr">
        <is>
          <t>HB.2</t>
        </is>
      </c>
      <c r="G95" t="inlineStr">
        <is>
          <t>5.24</t>
        </is>
      </c>
      <c r="H95" t="n">
        <v>37</v>
      </c>
      <c r="I95" t="n">
        <v>40.68</v>
      </c>
      <c r="J95" t="n">
        <v>-4.77</v>
      </c>
      <c r="K95" t="n">
        <v>-33.48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40C_10RH_chamber</t>
        </is>
      </c>
      <c r="B96" t="inlineStr">
        <is>
          <t>40 C / 10%RH (chamber arm)</t>
        </is>
      </c>
      <c r="C96" t="inlineStr">
        <is>
          <t>measured</t>
        </is>
      </c>
      <c r="D96" t="inlineStr">
        <is>
          <t>Azurite</t>
        </is>
      </c>
      <c r="E96" t="inlineStr">
        <is>
          <t>pedestal</t>
        </is>
      </c>
      <c r="F96" t="inlineStr">
        <is>
          <t>HB.2</t>
        </is>
      </c>
      <c r="G96" t="inlineStr">
        <is>
          <t>5.28</t>
        </is>
      </c>
      <c r="H96" t="n">
        <v>41</v>
      </c>
      <c r="I96" t="n">
        <v>40.9</v>
      </c>
      <c r="J96" t="n">
        <v>-5.48</v>
      </c>
      <c r="K96" t="n">
        <v>-32.5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40C_10RH_chamber</t>
        </is>
      </c>
      <c r="B97" t="inlineStr">
        <is>
          <t>40 C / 10%RH (chamber arm)</t>
        </is>
      </c>
      <c r="C97" t="inlineStr">
        <is>
          <t>measured</t>
        </is>
      </c>
      <c r="D97" t="inlineStr">
        <is>
          <t>Azurite</t>
        </is>
      </c>
      <c r="E97" t="inlineStr">
        <is>
          <t>pedestal</t>
        </is>
      </c>
      <c r="F97" t="inlineStr">
        <is>
          <t>HB.2</t>
        </is>
      </c>
      <c r="G97" t="inlineStr">
        <is>
          <t>6.09</t>
        </is>
      </c>
      <c r="H97" t="n">
        <v>53</v>
      </c>
      <c r="I97" t="n">
        <v>40.6</v>
      </c>
      <c r="J97" t="n">
        <v>-4.98</v>
      </c>
      <c r="K97" t="n">
        <v>-32.18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40C_10RH_chamber</t>
        </is>
      </c>
      <c r="B98" t="inlineStr">
        <is>
          <t>40 C / 10%RH (chamber arm)</t>
        </is>
      </c>
      <c r="C98" t="inlineStr">
        <is>
          <t>measured</t>
        </is>
      </c>
      <c r="D98" t="inlineStr">
        <is>
          <t>Azurite</t>
        </is>
      </c>
      <c r="E98" t="inlineStr">
        <is>
          <t>pedestal</t>
        </is>
      </c>
      <c r="F98" t="inlineStr">
        <is>
          <t>HB.2</t>
        </is>
      </c>
      <c r="G98" t="inlineStr">
        <is>
          <t>6.13</t>
        </is>
      </c>
      <c r="H98" t="n">
        <v>57</v>
      </c>
      <c r="I98" t="n">
        <v>40.62</v>
      </c>
      <c r="J98" t="n">
        <v>-4.67</v>
      </c>
      <c r="K98" t="n">
        <v>-33.58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40C_10RH_chamber</t>
        </is>
      </c>
      <c r="B99" t="inlineStr">
        <is>
          <t>40 C / 10%RH (chamber arm)</t>
        </is>
      </c>
      <c r="C99" t="inlineStr">
        <is>
          <t>measured</t>
        </is>
      </c>
      <c r="D99" t="inlineStr">
        <is>
          <t>Azurite</t>
        </is>
      </c>
      <c r="E99" t="inlineStr">
        <is>
          <t>pedestal</t>
        </is>
      </c>
      <c r="F99" t="inlineStr">
        <is>
          <t>HB.2</t>
        </is>
      </c>
      <c r="G99" t="inlineStr">
        <is>
          <t>6.17</t>
        </is>
      </c>
      <c r="H99" t="n">
        <v>61</v>
      </c>
      <c r="I99" t="n">
        <v>40.02</v>
      </c>
      <c r="J99" t="n">
        <v>-4.51</v>
      </c>
      <c r="K99" t="n">
        <v>-33.4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40C_10RH_chamber</t>
        </is>
      </c>
      <c r="B100" t="inlineStr">
        <is>
          <t>40 C / 10%RH (chamber arm)</t>
        </is>
      </c>
      <c r="C100" t="inlineStr">
        <is>
          <t>measured</t>
        </is>
      </c>
      <c r="D100" t="inlineStr">
        <is>
          <t>Azurite</t>
        </is>
      </c>
      <c r="E100" t="inlineStr">
        <is>
          <t>pedestal</t>
        </is>
      </c>
      <c r="F100" t="inlineStr">
        <is>
          <t>HB.3</t>
        </is>
      </c>
      <c r="G100" t="inlineStr">
        <is>
          <t>4.17</t>
        </is>
      </c>
      <c r="H100" t="n">
        <v>0</v>
      </c>
      <c r="I100" s="4" t="n">
        <v>40.61</v>
      </c>
      <c r="J100" s="4" t="n">
        <v>-5.44</v>
      </c>
      <c r="K100" s="4" t="n">
        <v>-32.22</v>
      </c>
      <c r="L100" t="n">
        <v>0</v>
      </c>
      <c r="M100" t="inlineStr">
        <is>
          <t>measured</t>
        </is>
      </c>
    </row>
    <row r="101">
      <c r="A101" t="inlineStr">
        <is>
          <t>40C_10RH_chamber</t>
        </is>
      </c>
      <c r="B101" t="inlineStr">
        <is>
          <t>40 C / 10%RH (chamber arm)</t>
        </is>
      </c>
      <c r="C101" t="inlineStr">
        <is>
          <t>measured</t>
        </is>
      </c>
      <c r="D101" t="inlineStr">
        <is>
          <t>Azurite</t>
        </is>
      </c>
      <c r="E101" t="inlineStr">
        <is>
          <t>pedestal</t>
        </is>
      </c>
      <c r="F101" t="inlineStr">
        <is>
          <t>HB.3</t>
        </is>
      </c>
      <c r="G101" t="inlineStr">
        <is>
          <t>4.20</t>
        </is>
      </c>
      <c r="H101" t="n">
        <v>3</v>
      </c>
      <c r="I101" t="n">
        <v>40.81</v>
      </c>
      <c r="J101" t="n">
        <v>-5.31</v>
      </c>
      <c r="K101" t="n">
        <v>-32.71</v>
      </c>
      <c r="L101">
        <f>ROUND(SQRT((I101-I100)^2+(J101-J100)^2+(K101-K100)^2),2)</f>
        <v/>
      </c>
      <c r="M101" t="inlineStr">
        <is>
          <t>measured</t>
        </is>
      </c>
    </row>
    <row r="102">
      <c r="A102" t="inlineStr">
        <is>
          <t>40C_10RH_chamber</t>
        </is>
      </c>
      <c r="B102" t="inlineStr">
        <is>
          <t>40 C / 10%RH (chamber arm)</t>
        </is>
      </c>
      <c r="C102" t="inlineStr">
        <is>
          <t>measured</t>
        </is>
      </c>
      <c r="D102" t="inlineStr">
        <is>
          <t>Azurite</t>
        </is>
      </c>
      <c r="E102" t="inlineStr">
        <is>
          <t>pedestal</t>
        </is>
      </c>
      <c r="F102" t="inlineStr">
        <is>
          <t>HB.3</t>
        </is>
      </c>
      <c r="G102" t="inlineStr">
        <is>
          <t>4.23</t>
        </is>
      </c>
      <c r="H102" t="n">
        <v>6</v>
      </c>
      <c r="I102" t="n">
        <v>40.36</v>
      </c>
      <c r="J102" t="n">
        <v>-5.28</v>
      </c>
      <c r="K102" t="n">
        <v>-32.89</v>
      </c>
      <c r="L102">
        <f>ROUND(SQRT((I102-I100)^2+(J102-J100)^2+(K102-K100)^2),2)</f>
        <v/>
      </c>
      <c r="M102" t="inlineStr">
        <is>
          <t>measured</t>
        </is>
      </c>
    </row>
    <row r="103">
      <c r="A103" t="inlineStr">
        <is>
          <t>40C_10RH_chamber</t>
        </is>
      </c>
      <c r="B103" t="inlineStr">
        <is>
          <t>40 C / 10%RH (chamber arm)</t>
        </is>
      </c>
      <c r="C103" t="inlineStr">
        <is>
          <t>measured</t>
        </is>
      </c>
      <c r="D103" t="inlineStr">
        <is>
          <t>Azurite</t>
        </is>
      </c>
      <c r="E103" t="inlineStr">
        <is>
          <t>pedestal</t>
        </is>
      </c>
      <c r="F103" t="inlineStr">
        <is>
          <t>HB.3</t>
        </is>
      </c>
      <c r="G103" t="inlineStr">
        <is>
          <t>4.26</t>
        </is>
      </c>
      <c r="H103" t="n">
        <v>9</v>
      </c>
      <c r="I103" t="n">
        <v>40.63</v>
      </c>
      <c r="J103" t="n">
        <v>-5.52</v>
      </c>
      <c r="K103" t="n">
        <v>-32.69</v>
      </c>
      <c r="L103">
        <f>ROUND(SQRT((I103-I100)^2+(J103-J100)^2+(K103-K100)^2),2)</f>
        <v/>
      </c>
      <c r="M103" t="inlineStr">
        <is>
          <t>measured</t>
        </is>
      </c>
    </row>
    <row r="104">
      <c r="A104" t="inlineStr">
        <is>
          <t>40C_10RH_chamber</t>
        </is>
      </c>
      <c r="B104" t="inlineStr">
        <is>
          <t>40 C / 10%RH (chamber arm)</t>
        </is>
      </c>
      <c r="C104" t="inlineStr">
        <is>
          <t>measured</t>
        </is>
      </c>
      <c r="D104" t="inlineStr">
        <is>
          <t>Azurite</t>
        </is>
      </c>
      <c r="E104" t="inlineStr">
        <is>
          <t>pedestal</t>
        </is>
      </c>
      <c r="F104" t="inlineStr">
        <is>
          <t>HB.3</t>
        </is>
      </c>
      <c r="G104" t="inlineStr">
        <is>
          <t>4.29</t>
        </is>
      </c>
      <c r="H104" t="n">
        <v>12</v>
      </c>
      <c r="I104" t="n">
        <v>41.43</v>
      </c>
      <c r="J104" t="n">
        <v>-4.78</v>
      </c>
      <c r="K104" t="n">
        <v>-32.84</v>
      </c>
      <c r="L104">
        <f>ROUND(SQRT((I104-I100)^2+(J104-J100)^2+(K104-K100)^2),2)</f>
        <v/>
      </c>
      <c r="M104" t="inlineStr">
        <is>
          <t>measured</t>
        </is>
      </c>
    </row>
    <row r="105">
      <c r="A105" t="inlineStr">
        <is>
          <t>40C_10RH_chamber</t>
        </is>
      </c>
      <c r="B105" t="inlineStr">
        <is>
          <t>40 C / 10%RH (chamber arm)</t>
        </is>
      </c>
      <c r="C105" t="inlineStr">
        <is>
          <t>measured</t>
        </is>
      </c>
      <c r="D105" t="inlineStr">
        <is>
          <t>Azurite</t>
        </is>
      </c>
      <c r="E105" t="inlineStr">
        <is>
          <t>pedestal</t>
        </is>
      </c>
      <c r="F105" t="inlineStr">
        <is>
          <t>HB.3</t>
        </is>
      </c>
      <c r="G105" t="inlineStr">
        <is>
          <t>5.12</t>
        </is>
      </c>
      <c r="H105" t="n">
        <v>25</v>
      </c>
      <c r="I105" t="n">
        <v>40.98</v>
      </c>
      <c r="J105" t="n">
        <v>-4.48</v>
      </c>
      <c r="K105" t="n">
        <v>-33.77</v>
      </c>
      <c r="L105">
        <f>ROUND(SQRT((I105-I100)^2+(J105-J100)^2+(K105-K100)^2),2)</f>
        <v/>
      </c>
      <c r="M105" t="inlineStr">
        <is>
          <t>measured</t>
        </is>
      </c>
    </row>
    <row r="106">
      <c r="A106" t="inlineStr">
        <is>
          <t>40C_10RH_chamber</t>
        </is>
      </c>
      <c r="B106" t="inlineStr">
        <is>
          <t>40 C / 10%RH (chamber arm)</t>
        </is>
      </c>
      <c r="C106" t="inlineStr">
        <is>
          <t>measured</t>
        </is>
      </c>
      <c r="D106" t="inlineStr">
        <is>
          <t>Azurite</t>
        </is>
      </c>
      <c r="E106" t="inlineStr">
        <is>
          <t>pedestal</t>
        </is>
      </c>
      <c r="F106" t="inlineStr">
        <is>
          <t>HB.3</t>
        </is>
      </c>
      <c r="G106" t="inlineStr">
        <is>
          <t>5.14</t>
        </is>
      </c>
      <c r="H106" t="n">
        <v>27</v>
      </c>
      <c r="I106" t="n">
        <v>40.87</v>
      </c>
      <c r="J106" t="n">
        <v>-5.19</v>
      </c>
      <c r="K106" t="n">
        <v>-33.59</v>
      </c>
      <c r="L106">
        <f>ROUND(SQRT((I106-I100)^2+(J106-J100)^2+(K106-K100)^2),2)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Azurite</t>
        </is>
      </c>
      <c r="E107" t="inlineStr">
        <is>
          <t>pedestal</t>
        </is>
      </c>
      <c r="F107" t="inlineStr">
        <is>
          <t>HB.3</t>
        </is>
      </c>
      <c r="G107" t="inlineStr">
        <is>
          <t>5.18</t>
        </is>
      </c>
      <c r="H107" t="n">
        <v>31</v>
      </c>
      <c r="I107" t="n">
        <v>41.42</v>
      </c>
      <c r="J107" t="n">
        <v>-5.66</v>
      </c>
      <c r="K107" t="n">
        <v>-31.91</v>
      </c>
      <c r="L107">
        <f>ROUND(SQRT((I107-I100)^2+(J107-J100)^2+(K107-K100)^2),2)</f>
        <v/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Azurite</t>
        </is>
      </c>
      <c r="E108" t="inlineStr">
        <is>
          <t>pedestal</t>
        </is>
      </c>
      <c r="F108" t="inlineStr">
        <is>
          <t>HB.3</t>
        </is>
      </c>
      <c r="G108" t="inlineStr">
        <is>
          <t>5.21</t>
        </is>
      </c>
      <c r="H108" t="n">
        <v>34</v>
      </c>
      <c r="I108" t="n">
        <v>41.45</v>
      </c>
      <c r="J108" t="n">
        <v>-5.29</v>
      </c>
      <c r="K108" t="n">
        <v>-31.28</v>
      </c>
      <c r="L108">
        <f>ROUND(SQRT((I108-I100)^2+(J108-J100)^2+(K108-K100)^2),2)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Azurite</t>
        </is>
      </c>
      <c r="E109" t="inlineStr">
        <is>
          <t>pedestal</t>
        </is>
      </c>
      <c r="F109" t="inlineStr">
        <is>
          <t>HB.3</t>
        </is>
      </c>
      <c r="G109" t="inlineStr">
        <is>
          <t>5.24</t>
        </is>
      </c>
      <c r="H109" t="n">
        <v>37</v>
      </c>
      <c r="I109" t="n">
        <v>40.75</v>
      </c>
      <c r="J109" t="n">
        <v>-4.54</v>
      </c>
      <c r="K109" t="n">
        <v>-31.04</v>
      </c>
      <c r="L109">
        <f>ROUND(SQRT((I109-I100)^2+(J109-J100)^2+(K109-K100)^2),2)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Azurite</t>
        </is>
      </c>
      <c r="E110" t="inlineStr">
        <is>
          <t>pedestal</t>
        </is>
      </c>
      <c r="F110" t="inlineStr">
        <is>
          <t>HB.3</t>
        </is>
      </c>
      <c r="G110" t="inlineStr">
        <is>
          <t>5.28</t>
        </is>
      </c>
      <c r="H110" t="n">
        <v>41</v>
      </c>
      <c r="I110" t="n">
        <v>41.62</v>
      </c>
      <c r="J110" t="n">
        <v>-4.98</v>
      </c>
      <c r="K110" t="n">
        <v>-32.66</v>
      </c>
      <c r="L110">
        <f>ROUND(SQRT((I110-I100)^2+(J110-J100)^2+(K110-K100)^2),2)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Azurite</t>
        </is>
      </c>
      <c r="E111" t="inlineStr">
        <is>
          <t>pedestal</t>
        </is>
      </c>
      <c r="F111" t="inlineStr">
        <is>
          <t>HB.3</t>
        </is>
      </c>
      <c r="G111" t="inlineStr">
        <is>
          <t>6.09</t>
        </is>
      </c>
      <c r="H111" t="n">
        <v>53</v>
      </c>
      <c r="I111" t="n">
        <v>40.75</v>
      </c>
      <c r="J111" t="n">
        <v>-4.98</v>
      </c>
      <c r="K111" t="n">
        <v>-33.02</v>
      </c>
      <c r="L111">
        <f>ROUND(SQRT((I111-I100)^2+(J111-J100)^2+(K111-K100)^2),2)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Azurite</t>
        </is>
      </c>
      <c r="E112" t="inlineStr">
        <is>
          <t>pedestal</t>
        </is>
      </c>
      <c r="F112" t="inlineStr">
        <is>
          <t>HB.3</t>
        </is>
      </c>
      <c r="G112" t="inlineStr">
        <is>
          <t>6.13</t>
        </is>
      </c>
      <c r="H112" t="n">
        <v>57</v>
      </c>
      <c r="I112" t="n">
        <v>41.05</v>
      </c>
      <c r="J112" t="n">
        <v>-5.44</v>
      </c>
      <c r="K112" t="n">
        <v>-31.82</v>
      </c>
      <c r="L112">
        <f>ROUND(SQRT((I112-I100)^2+(J112-J100)^2+(K112-K100)^2),2)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Azurite</t>
        </is>
      </c>
      <c r="E113" t="inlineStr">
        <is>
          <t>pedestal</t>
        </is>
      </c>
      <c r="F113" t="inlineStr">
        <is>
          <t>HB.3</t>
        </is>
      </c>
      <c r="G113" t="inlineStr">
        <is>
          <t>6.17</t>
        </is>
      </c>
      <c r="H113" t="n">
        <v>61</v>
      </c>
      <c r="I113" t="n">
        <v>41.37</v>
      </c>
      <c r="J113" t="n">
        <v>-5.04</v>
      </c>
      <c r="K113" t="n">
        <v>-31.94</v>
      </c>
      <c r="L113">
        <f>ROUND(SQRT((I113-I100)^2+(J113-J100)^2+(K113-K100)^2),2)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Azurite</t>
        </is>
      </c>
      <c r="E114" t="inlineStr">
        <is>
          <t>block</t>
        </is>
      </c>
      <c r="F114" t="inlineStr">
        <is>
          <t>HTB.1</t>
        </is>
      </c>
      <c r="G114" t="inlineStr">
        <is>
          <t>4.17</t>
        </is>
      </c>
      <c r="H114" t="n">
        <v>0</v>
      </c>
      <c r="I114" s="4" t="n">
        <v>41.17</v>
      </c>
      <c r="J114" s="4" t="n">
        <v>-4.12</v>
      </c>
      <c r="K114" s="4" t="n">
        <v>-28.95</v>
      </c>
      <c r="L114" t="n">
        <v>0</v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Azurite</t>
        </is>
      </c>
      <c r="E115" t="inlineStr">
        <is>
          <t>block</t>
        </is>
      </c>
      <c r="F115" t="inlineStr">
        <is>
          <t>HTB.1</t>
        </is>
      </c>
      <c r="G115" t="inlineStr">
        <is>
          <t>4.20</t>
        </is>
      </c>
      <c r="H115" t="n">
        <v>3</v>
      </c>
      <c r="I115" t="n">
        <v>39.24</v>
      </c>
      <c r="J115" t="n">
        <v>-5.9</v>
      </c>
      <c r="K115" t="n">
        <v>-28.44</v>
      </c>
      <c r="L115">
        <f>ROUND(SQRT((I115-I114)^2+(J115-J114)^2+(K115-K114)^2),2)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Azurite</t>
        </is>
      </c>
      <c r="E116" t="inlineStr">
        <is>
          <t>block</t>
        </is>
      </c>
      <c r="F116" t="inlineStr">
        <is>
          <t>HTB.1</t>
        </is>
      </c>
      <c r="G116" t="inlineStr">
        <is>
          <t>4.23</t>
        </is>
      </c>
      <c r="H116" t="n">
        <v>6</v>
      </c>
      <c r="I116" t="n">
        <v>39.1</v>
      </c>
      <c r="J116" t="n">
        <v>-5.42</v>
      </c>
      <c r="K116" t="n">
        <v>-28.45</v>
      </c>
      <c r="L116">
        <f>ROUND(SQRT((I116-I114)^2+(J116-J114)^2+(K116-K114)^2),2)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Azurite</t>
        </is>
      </c>
      <c r="E117" t="inlineStr">
        <is>
          <t>block</t>
        </is>
      </c>
      <c r="F117" t="inlineStr">
        <is>
          <t>HTB.1</t>
        </is>
      </c>
      <c r="G117" t="inlineStr">
        <is>
          <t>4.26</t>
        </is>
      </c>
      <c r="H117" t="n">
        <v>9</v>
      </c>
      <c r="I117" t="n">
        <v>40.39</v>
      </c>
      <c r="J117" t="n">
        <v>-5.24</v>
      </c>
      <c r="K117" t="n">
        <v>-27.71</v>
      </c>
      <c r="L117">
        <f>ROUND(SQRT((I117-I114)^2+(J117-J114)^2+(K117-K114)^2),2)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Azurite</t>
        </is>
      </c>
      <c r="E118" t="inlineStr">
        <is>
          <t>block</t>
        </is>
      </c>
      <c r="F118" t="inlineStr">
        <is>
          <t>HTB.1</t>
        </is>
      </c>
      <c r="G118" t="inlineStr">
        <is>
          <t>4.29</t>
        </is>
      </c>
      <c r="H118" t="n">
        <v>12</v>
      </c>
      <c r="I118" t="n">
        <v>41.4</v>
      </c>
      <c r="J118" t="n">
        <v>-4.64</v>
      </c>
      <c r="K118" t="n">
        <v>-27.92</v>
      </c>
      <c r="L118">
        <f>ROUND(SQRT((I118-I114)^2+(J118-J114)^2+(K118-K114)^2),2)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Azurite</t>
        </is>
      </c>
      <c r="E119" t="inlineStr">
        <is>
          <t>block</t>
        </is>
      </c>
      <c r="F119" t="inlineStr">
        <is>
          <t>HTB.1</t>
        </is>
      </c>
      <c r="G119" t="inlineStr">
        <is>
          <t>5.12</t>
        </is>
      </c>
      <c r="H119" t="n">
        <v>25</v>
      </c>
      <c r="I119" t="n">
        <v>39.58</v>
      </c>
      <c r="J119" t="n">
        <v>-5.79</v>
      </c>
      <c r="K119" t="n">
        <v>-28.18</v>
      </c>
      <c r="L119">
        <f>ROUND(SQRT((I119-I114)^2+(J119-J114)^2+(K119-K114)^2),2)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Azurite</t>
        </is>
      </c>
      <c r="E120" t="inlineStr">
        <is>
          <t>block</t>
        </is>
      </c>
      <c r="F120" t="inlineStr">
        <is>
          <t>HTB.1</t>
        </is>
      </c>
      <c r="G120" t="inlineStr">
        <is>
          <t>5.14</t>
        </is>
      </c>
      <c r="H120" t="n">
        <v>27</v>
      </c>
      <c r="I120" t="n">
        <v>41.73</v>
      </c>
      <c r="J120" t="n">
        <v>-6.21</v>
      </c>
      <c r="K120" t="n">
        <v>-27.12</v>
      </c>
      <c r="L120">
        <f>ROUND(SQRT((I120-I114)^2+(J120-J114)^2+(K120-K114)^2),2)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Azurite</t>
        </is>
      </c>
      <c r="E121" t="inlineStr">
        <is>
          <t>block</t>
        </is>
      </c>
      <c r="F121" t="inlineStr">
        <is>
          <t>HTB.1</t>
        </is>
      </c>
      <c r="G121" t="inlineStr">
        <is>
          <t>5.18</t>
        </is>
      </c>
      <c r="H121" t="n">
        <v>31</v>
      </c>
      <c r="I121" t="n">
        <v>40.45</v>
      </c>
      <c r="J121" t="n">
        <v>-5.98</v>
      </c>
      <c r="K121" t="n">
        <v>-27.67</v>
      </c>
      <c r="L121">
        <f>ROUND(SQRT((I121-I114)^2+(J121-J114)^2+(K121-K114)^2),2)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Azurite</t>
        </is>
      </c>
      <c r="E122" t="inlineStr">
        <is>
          <t>block</t>
        </is>
      </c>
      <c r="F122" t="inlineStr">
        <is>
          <t>HTB.1</t>
        </is>
      </c>
      <c r="G122" t="inlineStr">
        <is>
          <t>5.21</t>
        </is>
      </c>
      <c r="H122" t="n">
        <v>34</v>
      </c>
      <c r="I122" t="n">
        <v>39.62</v>
      </c>
      <c r="J122" t="n">
        <v>-4.73</v>
      </c>
      <c r="K122" t="n">
        <v>-28.66</v>
      </c>
      <c r="L122">
        <f>ROUND(SQRT((I122-I114)^2+(J122-J114)^2+(K122-K114)^2),2)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Azurite</t>
        </is>
      </c>
      <c r="E123" t="inlineStr">
        <is>
          <t>block</t>
        </is>
      </c>
      <c r="F123" t="inlineStr">
        <is>
          <t>HTB.1</t>
        </is>
      </c>
      <c r="G123" t="inlineStr">
        <is>
          <t>5.24</t>
        </is>
      </c>
      <c r="H123" t="n">
        <v>37</v>
      </c>
      <c r="I123" t="n">
        <v>40.59</v>
      </c>
      <c r="J123" t="n">
        <v>-4.3</v>
      </c>
      <c r="K123" t="n">
        <v>-27.35</v>
      </c>
      <c r="L123">
        <f>ROUND(SQRT((I123-I114)^2+(J123-J114)^2+(K123-K114)^2),2)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Azurite</t>
        </is>
      </c>
      <c r="E124" t="inlineStr">
        <is>
          <t>block</t>
        </is>
      </c>
      <c r="F124" t="inlineStr">
        <is>
          <t>HTB.1</t>
        </is>
      </c>
      <c r="G124" t="inlineStr">
        <is>
          <t>5.28</t>
        </is>
      </c>
      <c r="H124" t="n">
        <v>41</v>
      </c>
      <c r="I124" t="n">
        <v>41.13</v>
      </c>
      <c r="J124" t="n">
        <v>-5.23</v>
      </c>
      <c r="K124" t="n">
        <v>-27.62</v>
      </c>
      <c r="L124">
        <f>ROUND(SQRT((I124-I114)^2+(J124-J114)^2+(K124-K114)^2),2)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Azurite</t>
        </is>
      </c>
      <c r="E125" t="inlineStr">
        <is>
          <t>block</t>
        </is>
      </c>
      <c r="F125" t="inlineStr">
        <is>
          <t>HTB.1</t>
        </is>
      </c>
      <c r="G125" t="inlineStr">
        <is>
          <t>6.09</t>
        </is>
      </c>
      <c r="H125" t="n">
        <v>53</v>
      </c>
      <c r="I125" t="n">
        <v>42.83</v>
      </c>
      <c r="J125" t="n">
        <v>-4.98</v>
      </c>
      <c r="K125" t="n">
        <v>-27.91</v>
      </c>
      <c r="L125">
        <f>ROUND(SQRT((I125-I114)^2+(J125-J114)^2+(K125-K114)^2),2)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Azurite</t>
        </is>
      </c>
      <c r="E126" t="inlineStr">
        <is>
          <t>block</t>
        </is>
      </c>
      <c r="F126" t="inlineStr">
        <is>
          <t>HTB.1</t>
        </is>
      </c>
      <c r="G126" t="inlineStr">
        <is>
          <t>6.13</t>
        </is>
      </c>
      <c r="H126" t="n">
        <v>57</v>
      </c>
      <c r="I126" t="n">
        <v>42.63</v>
      </c>
      <c r="J126" t="n">
        <v>-4.77</v>
      </c>
      <c r="K126" t="n">
        <v>-27.02</v>
      </c>
      <c r="L126">
        <f>ROUND(SQRT((I126-I114)^2+(J126-J114)^2+(K126-K114)^2),2)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Azurite</t>
        </is>
      </c>
      <c r="E127" t="inlineStr">
        <is>
          <t>block</t>
        </is>
      </c>
      <c r="F127" t="inlineStr">
        <is>
          <t>HTB.1</t>
        </is>
      </c>
      <c r="G127" t="inlineStr">
        <is>
          <t>6.17</t>
        </is>
      </c>
      <c r="H127" t="n">
        <v>61</v>
      </c>
      <c r="I127" t="n">
        <v>40.86</v>
      </c>
      <c r="J127" t="n">
        <v>-5.91</v>
      </c>
      <c r="K127" t="n">
        <v>-26.87</v>
      </c>
      <c r="L127">
        <f>ROUND(SQRT((I127-I114)^2+(J127-J114)^2+(K127-K114)^2),2)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Azurite</t>
        </is>
      </c>
      <c r="E128" t="inlineStr">
        <is>
          <t>block</t>
        </is>
      </c>
      <c r="F128" t="inlineStr">
        <is>
          <t>HTB.2</t>
        </is>
      </c>
      <c r="G128" t="inlineStr">
        <is>
          <t>4.17</t>
        </is>
      </c>
      <c r="H128" t="n">
        <v>0</v>
      </c>
      <c r="I128" s="4" t="n">
        <v>39.08</v>
      </c>
      <c r="J128" s="4" t="n">
        <v>-6.04</v>
      </c>
      <c r="K128" s="4" t="n">
        <v>-28.25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Azurite</t>
        </is>
      </c>
      <c r="E129" t="inlineStr">
        <is>
          <t>block</t>
        </is>
      </c>
      <c r="F129" t="inlineStr">
        <is>
          <t>HTB.2</t>
        </is>
      </c>
      <c r="G129" t="inlineStr">
        <is>
          <t>4.20</t>
        </is>
      </c>
      <c r="H129" t="n">
        <v>3</v>
      </c>
      <c r="I129" t="n">
        <v>39.08</v>
      </c>
      <c r="J129" t="n">
        <v>-6.68</v>
      </c>
      <c r="K129" t="n">
        <v>-27.37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Azurite</t>
        </is>
      </c>
      <c r="E130" t="inlineStr">
        <is>
          <t>block</t>
        </is>
      </c>
      <c r="F130" t="inlineStr">
        <is>
          <t>HTB.2</t>
        </is>
      </c>
      <c r="G130" t="inlineStr">
        <is>
          <t>4.23</t>
        </is>
      </c>
      <c r="H130" t="n">
        <v>6</v>
      </c>
      <c r="I130" t="n">
        <v>39.33</v>
      </c>
      <c r="J130" t="n">
        <v>-7.42</v>
      </c>
      <c r="K130" t="n">
        <v>-27.74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Azurite</t>
        </is>
      </c>
      <c r="E131" t="inlineStr">
        <is>
          <t>block</t>
        </is>
      </c>
      <c r="F131" t="inlineStr">
        <is>
          <t>HTB.2</t>
        </is>
      </c>
      <c r="G131" t="inlineStr">
        <is>
          <t>4.26</t>
        </is>
      </c>
      <c r="H131" t="n">
        <v>9</v>
      </c>
      <c r="I131" t="n">
        <v>37.94</v>
      </c>
      <c r="J131" t="n">
        <v>-6.41</v>
      </c>
      <c r="K131" t="n">
        <v>-28.5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Azurite</t>
        </is>
      </c>
      <c r="E132" t="inlineStr">
        <is>
          <t>block</t>
        </is>
      </c>
      <c r="F132" t="inlineStr">
        <is>
          <t>HTB.2</t>
        </is>
      </c>
      <c r="G132" t="inlineStr">
        <is>
          <t>4.29</t>
        </is>
      </c>
      <c r="H132" t="n">
        <v>12</v>
      </c>
      <c r="I132" t="n">
        <v>37.59</v>
      </c>
      <c r="J132" t="n">
        <v>-6.35</v>
      </c>
      <c r="K132" t="n">
        <v>-27.47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Azurite</t>
        </is>
      </c>
      <c r="E133" t="inlineStr">
        <is>
          <t>block</t>
        </is>
      </c>
      <c r="F133" t="inlineStr">
        <is>
          <t>HTB.2</t>
        </is>
      </c>
      <c r="G133" t="inlineStr">
        <is>
          <t>5.12</t>
        </is>
      </c>
      <c r="H133" t="n">
        <v>25</v>
      </c>
      <c r="I133" t="n">
        <v>39.59</v>
      </c>
      <c r="J133" t="n">
        <v>-6.55</v>
      </c>
      <c r="K133" t="n">
        <v>-28.99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Azurite</t>
        </is>
      </c>
      <c r="E134" t="inlineStr">
        <is>
          <t>block</t>
        </is>
      </c>
      <c r="F134" t="inlineStr">
        <is>
          <t>HTB.2</t>
        </is>
      </c>
      <c r="G134" t="inlineStr">
        <is>
          <t>5.14</t>
        </is>
      </c>
      <c r="H134" t="n">
        <v>27</v>
      </c>
      <c r="I134" t="n">
        <v>39.83</v>
      </c>
      <c r="J134" t="n">
        <v>-6.85</v>
      </c>
      <c r="K134" t="n">
        <v>-28.43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Azurite</t>
        </is>
      </c>
      <c r="E135" t="inlineStr">
        <is>
          <t>block</t>
        </is>
      </c>
      <c r="F135" t="inlineStr">
        <is>
          <t>HTB.2</t>
        </is>
      </c>
      <c r="G135" t="inlineStr">
        <is>
          <t>5.18</t>
        </is>
      </c>
      <c r="H135" t="n">
        <v>31</v>
      </c>
      <c r="I135" t="n">
        <v>39.83</v>
      </c>
      <c r="J135" t="n">
        <v>-7.32</v>
      </c>
      <c r="K135" t="n">
        <v>-27.65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Azurite</t>
        </is>
      </c>
      <c r="E136" t="inlineStr">
        <is>
          <t>block</t>
        </is>
      </c>
      <c r="F136" t="inlineStr">
        <is>
          <t>HTB.2</t>
        </is>
      </c>
      <c r="G136" t="inlineStr">
        <is>
          <t>5.21</t>
        </is>
      </c>
      <c r="H136" t="n">
        <v>34</v>
      </c>
      <c r="I136" t="n">
        <v>40.02</v>
      </c>
      <c r="J136" t="n">
        <v>-6.43</v>
      </c>
      <c r="K136" t="n">
        <v>-29.15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Azurite</t>
        </is>
      </c>
      <c r="E137" t="inlineStr">
        <is>
          <t>block</t>
        </is>
      </c>
      <c r="F137" t="inlineStr">
        <is>
          <t>HTB.2</t>
        </is>
      </c>
      <c r="G137" t="inlineStr">
        <is>
          <t>5.24</t>
        </is>
      </c>
      <c r="H137" t="n">
        <v>37</v>
      </c>
      <c r="I137" t="n">
        <v>39.61</v>
      </c>
      <c r="J137" t="n">
        <v>-6.62</v>
      </c>
      <c r="K137" t="n">
        <v>-29.09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Azurite</t>
        </is>
      </c>
      <c r="E138" t="inlineStr">
        <is>
          <t>block</t>
        </is>
      </c>
      <c r="F138" t="inlineStr">
        <is>
          <t>HTB.2</t>
        </is>
      </c>
      <c r="G138" t="inlineStr">
        <is>
          <t>5.28</t>
        </is>
      </c>
      <c r="H138" t="n">
        <v>41</v>
      </c>
      <c r="I138" t="n">
        <v>39.43</v>
      </c>
      <c r="J138" t="n">
        <v>-6.17</v>
      </c>
      <c r="K138" t="n">
        <v>-29.14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Azurite</t>
        </is>
      </c>
      <c r="E139" t="inlineStr">
        <is>
          <t>block</t>
        </is>
      </c>
      <c r="F139" t="inlineStr">
        <is>
          <t>HTB.2</t>
        </is>
      </c>
      <c r="G139" t="inlineStr">
        <is>
          <t>6.09</t>
        </is>
      </c>
      <c r="H139" t="n">
        <v>53</v>
      </c>
      <c r="I139" t="n">
        <v>39.4</v>
      </c>
      <c r="J139" t="n">
        <v>-7.12</v>
      </c>
      <c r="K139" t="n">
        <v>-27.96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Azurite</t>
        </is>
      </c>
      <c r="E140" t="inlineStr">
        <is>
          <t>block</t>
        </is>
      </c>
      <c r="F140" t="inlineStr">
        <is>
          <t>HTB.2</t>
        </is>
      </c>
      <c r="G140" t="inlineStr">
        <is>
          <t>6.13</t>
        </is>
      </c>
      <c r="H140" t="n">
        <v>57</v>
      </c>
      <c r="I140" t="n">
        <v>39.53</v>
      </c>
      <c r="J140" t="n">
        <v>-6.82</v>
      </c>
      <c r="K140" t="n">
        <v>-28.37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Azurite</t>
        </is>
      </c>
      <c r="E141" t="inlineStr">
        <is>
          <t>block</t>
        </is>
      </c>
      <c r="F141" t="inlineStr">
        <is>
          <t>HTB.2</t>
        </is>
      </c>
      <c r="G141" t="inlineStr">
        <is>
          <t>6.17</t>
        </is>
      </c>
      <c r="H141" t="n">
        <v>61</v>
      </c>
      <c r="I141" t="n">
        <v>39.31</v>
      </c>
      <c r="J141" t="n">
        <v>-7.1</v>
      </c>
      <c r="K141" t="n">
        <v>-28.17</v>
      </c>
      <c r="L141">
        <f>ROUND(SQRT((I141-I128)^2+(J141-J128)^2+(K141-K128)^2),2)</f>
        <v/>
      </c>
      <c r="M141" t="inlineStr">
        <is>
          <t>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2026-07-05T06:25:41Z</dcterms:created>
  <dcterms:modified xmlns:dcterms="http://purl.org/dc/terms/" xmlns:xsi="http://www.w3.org/2001/XMLSchema-instance" xsi:type="dcterms:W3CDTF">2026-07-06T03:54:42Z</dcterms:modified>
  <cp:lastModifiedBy>Wei, Ran</cp:lastModifiedBy>
</cp:coreProperties>
</file>